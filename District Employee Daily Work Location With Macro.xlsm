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58"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nhildenbrand\Desktop\"/>
    </mc:Choice>
  </mc:AlternateContent>
  <xr:revisionPtr revIDLastSave="0" documentId="8_{999A91C0-4709-48A3-89DA-3CCDCF0DEC81}" xr6:coauthVersionLast="36" xr6:coauthVersionMax="36" xr10:uidLastSave="{00000000-0000-0000-0000-000000000000}"/>
  <bookViews>
    <workbookView xWindow="0" yWindow="0" windowWidth="19200" windowHeight="8025" firstSheet="19" activeTab="19" xr2:uid="{3F35544F-1103-4F8E-87DC-0A7C457BFBC0}"/>
  </bookViews>
  <sheets>
    <sheet name="March 23" sheetId="6" r:id="rId1"/>
    <sheet name="March 24" sheetId="7" r:id="rId2"/>
    <sheet name="March 25" sheetId="8" r:id="rId3"/>
    <sheet name="March 26" sheetId="9" r:id="rId4"/>
    <sheet name="March 27" sheetId="10" r:id="rId5"/>
    <sheet name="March 30" sheetId="11" r:id="rId6"/>
    <sheet name="March 31" sheetId="12" r:id="rId7"/>
    <sheet name="April 1" sheetId="13" r:id="rId8"/>
    <sheet name="April 2" sheetId="14" r:id="rId9"/>
    <sheet name="April 3" sheetId="15" r:id="rId10"/>
    <sheet name="April 6" sheetId="16" r:id="rId11"/>
    <sheet name="April 7" sheetId="17" r:id="rId12"/>
    <sheet name="April 8" sheetId="18" r:id="rId13"/>
    <sheet name="April 9" sheetId="19" r:id="rId14"/>
    <sheet name="April 10" sheetId="20" r:id="rId15"/>
    <sheet name="April 13" sheetId="21" r:id="rId16"/>
    <sheet name="April 14" sheetId="22" r:id="rId17"/>
    <sheet name="April 15" sheetId="23" r:id="rId18"/>
    <sheet name="April 16" sheetId="24" r:id="rId19"/>
    <sheet name="April 17" sheetId="25" r:id="rId20"/>
  </sheets>
  <calcPr calcId="191028"/>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3" i="25" l="1"/>
  <c r="G20" i="25" l="1"/>
  <c r="F20" i="25"/>
  <c r="E20" i="25"/>
  <c r="D20" i="25"/>
  <c r="C20" i="25"/>
  <c r="B20" i="25"/>
  <c r="H19" i="25"/>
  <c r="H18" i="25"/>
  <c r="H17" i="25"/>
  <c r="H16" i="25"/>
  <c r="H15" i="25"/>
  <c r="H14" i="25"/>
  <c r="H13" i="25"/>
  <c r="H12" i="25"/>
  <c r="H11" i="25"/>
  <c r="H10" i="25"/>
  <c r="H9" i="25"/>
  <c r="H8" i="25"/>
  <c r="H7" i="25"/>
  <c r="H6" i="25"/>
  <c r="H5" i="25"/>
  <c r="H20" i="25" l="1"/>
  <c r="J20" i="25"/>
  <c r="G20" i="24"/>
  <c r="F20" i="24"/>
  <c r="E20" i="24"/>
  <c r="D20" i="24"/>
  <c r="C20" i="24"/>
  <c r="B20" i="24"/>
  <c r="H19" i="24"/>
  <c r="H18" i="24"/>
  <c r="H17" i="24"/>
  <c r="H16" i="24"/>
  <c r="H15" i="24"/>
  <c r="H14" i="24"/>
  <c r="H13" i="24"/>
  <c r="H12" i="24"/>
  <c r="H11" i="24"/>
  <c r="H10" i="24"/>
  <c r="H9" i="24"/>
  <c r="H8" i="24"/>
  <c r="H7" i="24"/>
  <c r="H6" i="24"/>
  <c r="H5" i="24"/>
  <c r="J20" i="24" l="1"/>
  <c r="H20" i="24"/>
  <c r="G20" i="23"/>
  <c r="F20" i="23"/>
  <c r="E20" i="23"/>
  <c r="D20" i="23"/>
  <c r="C20" i="23"/>
  <c r="B20" i="23"/>
  <c r="H19" i="23"/>
  <c r="H18" i="23"/>
  <c r="H17" i="23"/>
  <c r="H16" i="23"/>
  <c r="H15" i="23"/>
  <c r="H14" i="23"/>
  <c r="H13" i="23"/>
  <c r="H12" i="23"/>
  <c r="H11" i="23"/>
  <c r="H10" i="23"/>
  <c r="H9" i="23"/>
  <c r="H8" i="23"/>
  <c r="H7" i="23"/>
  <c r="H6" i="23"/>
  <c r="H5" i="23"/>
  <c r="H20" i="23" l="1"/>
  <c r="H23" i="24" s="1"/>
  <c r="J20" i="23"/>
  <c r="G20" i="22"/>
  <c r="F20" i="22"/>
  <c r="E20" i="22"/>
  <c r="D20" i="22"/>
  <c r="C20" i="22"/>
  <c r="B20" i="22"/>
  <c r="H19" i="22"/>
  <c r="H18" i="22"/>
  <c r="H17" i="22"/>
  <c r="H16" i="22"/>
  <c r="H15" i="22"/>
  <c r="H14" i="22"/>
  <c r="H13" i="22"/>
  <c r="H12" i="22"/>
  <c r="H11" i="22"/>
  <c r="H10" i="22"/>
  <c r="H9" i="22"/>
  <c r="H8" i="22"/>
  <c r="H7" i="22"/>
  <c r="H6" i="22"/>
  <c r="H5" i="22"/>
  <c r="J20" i="22" l="1"/>
  <c r="H20" i="22"/>
  <c r="H23" i="23" s="1"/>
  <c r="G20" i="21"/>
  <c r="F20" i="21"/>
  <c r="E20" i="21"/>
  <c r="D20" i="21"/>
  <c r="C20" i="21"/>
  <c r="B20" i="21"/>
  <c r="H19" i="21"/>
  <c r="H18" i="21"/>
  <c r="H17" i="21"/>
  <c r="H16" i="21"/>
  <c r="H15" i="21"/>
  <c r="H14" i="21"/>
  <c r="H13" i="21"/>
  <c r="H12" i="21"/>
  <c r="H11" i="21"/>
  <c r="H10" i="21"/>
  <c r="H9" i="21"/>
  <c r="H8" i="21"/>
  <c r="H7" i="21"/>
  <c r="H6" i="21"/>
  <c r="H5" i="21"/>
  <c r="J20" i="21" l="1"/>
  <c r="H20" i="21"/>
  <c r="H23" i="22" s="1"/>
  <c r="H5" i="20"/>
  <c r="H6" i="20"/>
  <c r="H7" i="20"/>
  <c r="H8" i="20"/>
  <c r="H9" i="20"/>
  <c r="H10" i="20"/>
  <c r="H11" i="20"/>
  <c r="H12" i="20"/>
  <c r="H13" i="20"/>
  <c r="H14" i="20"/>
  <c r="H15" i="20"/>
  <c r="H17" i="20"/>
  <c r="H18" i="20"/>
  <c r="H19" i="20"/>
  <c r="H16" i="20"/>
  <c r="G20" i="20"/>
  <c r="F20" i="20"/>
  <c r="E20" i="20"/>
  <c r="D20" i="20"/>
  <c r="C20" i="20"/>
  <c r="B20" i="20"/>
  <c r="H20" i="20" l="1"/>
  <c r="H23" i="21" s="1"/>
  <c r="J20" i="20"/>
  <c r="G20" i="19"/>
  <c r="F20" i="19"/>
  <c r="E20" i="19"/>
  <c r="D20" i="19"/>
  <c r="C20" i="19"/>
  <c r="B20" i="19"/>
  <c r="H19" i="19"/>
  <c r="H18" i="19"/>
  <c r="H17" i="19"/>
  <c r="H16" i="19"/>
  <c r="H15" i="19"/>
  <c r="H14" i="19"/>
  <c r="H13" i="19"/>
  <c r="H12" i="19"/>
  <c r="H11" i="19"/>
  <c r="H10" i="19"/>
  <c r="H9" i="19"/>
  <c r="H8" i="19"/>
  <c r="H7" i="19"/>
  <c r="H6" i="19"/>
  <c r="H5" i="19"/>
  <c r="G20" i="18"/>
  <c r="F20" i="18"/>
  <c r="E20" i="18"/>
  <c r="D20" i="18"/>
  <c r="C20" i="18"/>
  <c r="B20" i="18"/>
  <c r="H19" i="18"/>
  <c r="H18" i="18"/>
  <c r="H17" i="18"/>
  <c r="H16" i="18"/>
  <c r="H15" i="18"/>
  <c r="H14" i="18"/>
  <c r="H13" i="18"/>
  <c r="H12" i="18"/>
  <c r="H11" i="18"/>
  <c r="H10" i="18"/>
  <c r="H9" i="18"/>
  <c r="H8" i="18"/>
  <c r="H7" i="18"/>
  <c r="H6" i="18"/>
  <c r="H5" i="18"/>
  <c r="J20" i="19" l="1"/>
  <c r="H20" i="19"/>
  <c r="H23" i="20" s="1"/>
  <c r="H20" i="18"/>
  <c r="I20" i="18"/>
  <c r="H23" i="19" l="1"/>
  <c r="G20" i="17"/>
  <c r="F20" i="17"/>
  <c r="E20" i="17"/>
  <c r="D20" i="17"/>
  <c r="C20" i="17"/>
  <c r="B20" i="17"/>
  <c r="H19" i="17"/>
  <c r="H18" i="17"/>
  <c r="H17" i="17"/>
  <c r="H16" i="17"/>
  <c r="H15" i="17"/>
  <c r="H14" i="17"/>
  <c r="H13" i="17"/>
  <c r="H12" i="17"/>
  <c r="H11" i="17"/>
  <c r="H10" i="17"/>
  <c r="H9" i="17"/>
  <c r="H8" i="17"/>
  <c r="H7" i="17"/>
  <c r="H6" i="17"/>
  <c r="H5" i="17"/>
  <c r="I20" i="17" l="1"/>
  <c r="H20" i="17"/>
  <c r="G20" i="16"/>
  <c r="F20" i="16"/>
  <c r="E20" i="16"/>
  <c r="D20" i="16"/>
  <c r="C20" i="16"/>
  <c r="B20" i="16"/>
  <c r="H19" i="16"/>
  <c r="H18" i="16"/>
  <c r="H17" i="16"/>
  <c r="H16" i="16"/>
  <c r="H15" i="16"/>
  <c r="H14" i="16"/>
  <c r="H13" i="16"/>
  <c r="H12" i="16"/>
  <c r="H11" i="16"/>
  <c r="H10" i="16"/>
  <c r="H9" i="16"/>
  <c r="H8" i="16"/>
  <c r="H7" i="16"/>
  <c r="H6" i="16"/>
  <c r="H5" i="16"/>
  <c r="H23" i="18" l="1"/>
  <c r="I20" i="16"/>
  <c r="H20" i="16"/>
  <c r="G20" i="15"/>
  <c r="F20" i="15"/>
  <c r="E20" i="15"/>
  <c r="D20" i="15"/>
  <c r="C20" i="15"/>
  <c r="B20" i="15"/>
  <c r="H19" i="15"/>
  <c r="H18" i="15"/>
  <c r="H17" i="15"/>
  <c r="H16" i="15"/>
  <c r="H15" i="15"/>
  <c r="H14" i="15"/>
  <c r="H13" i="15"/>
  <c r="H12" i="15"/>
  <c r="H11" i="15"/>
  <c r="H10" i="15"/>
  <c r="H9" i="15"/>
  <c r="H8" i="15"/>
  <c r="H7" i="15"/>
  <c r="H6" i="15"/>
  <c r="H5" i="15"/>
  <c r="I20" i="15" l="1"/>
  <c r="H20" i="15"/>
  <c r="H23" i="17" s="1"/>
  <c r="H23" i="16" l="1"/>
  <c r="G20" i="14"/>
  <c r="F20" i="14"/>
  <c r="E20" i="14"/>
  <c r="D20" i="14"/>
  <c r="C20" i="14"/>
  <c r="B20" i="14"/>
  <c r="H19" i="14"/>
  <c r="H18" i="14"/>
  <c r="H17" i="14"/>
  <c r="H16" i="14"/>
  <c r="H15" i="14"/>
  <c r="H14" i="14"/>
  <c r="H13" i="14"/>
  <c r="H12" i="14"/>
  <c r="H11" i="14"/>
  <c r="H10" i="14"/>
  <c r="H9" i="14"/>
  <c r="H8" i="14"/>
  <c r="H7" i="14"/>
  <c r="H6" i="14"/>
  <c r="H5" i="14"/>
  <c r="I20" i="14" l="1"/>
  <c r="H20" i="14"/>
  <c r="H6" i="13"/>
  <c r="H23" i="15" l="1"/>
  <c r="G20" i="13"/>
  <c r="F20" i="13"/>
  <c r="E20" i="13"/>
  <c r="D20" i="13"/>
  <c r="C20" i="13"/>
  <c r="B20" i="13"/>
  <c r="H19" i="13"/>
  <c r="H18" i="13"/>
  <c r="H17" i="13"/>
  <c r="H16" i="13"/>
  <c r="H15" i="13"/>
  <c r="H14" i="13"/>
  <c r="H13" i="13"/>
  <c r="H12" i="13"/>
  <c r="H11" i="13"/>
  <c r="H10" i="13"/>
  <c r="H9" i="13"/>
  <c r="H8" i="13"/>
  <c r="H7" i="13"/>
  <c r="H5" i="13"/>
  <c r="I20" i="13" l="1"/>
  <c r="H20" i="13"/>
  <c r="G20" i="12"/>
  <c r="F20" i="12"/>
  <c r="E20" i="12"/>
  <c r="D20" i="12"/>
  <c r="C20" i="12"/>
  <c r="B20" i="12"/>
  <c r="H19" i="12"/>
  <c r="H18" i="12"/>
  <c r="H17" i="12"/>
  <c r="H16" i="12"/>
  <c r="H15" i="12"/>
  <c r="H14" i="12"/>
  <c r="H13" i="12"/>
  <c r="H12" i="12"/>
  <c r="H11" i="12"/>
  <c r="H10" i="12"/>
  <c r="H9" i="12"/>
  <c r="H8" i="12"/>
  <c r="H7" i="12"/>
  <c r="H6" i="12"/>
  <c r="H5" i="12"/>
  <c r="H23" i="14" l="1"/>
  <c r="I20" i="12"/>
  <c r="H20" i="12"/>
  <c r="H23" i="13" s="1"/>
  <c r="H19" i="11"/>
  <c r="G20" i="11"/>
  <c r="F20" i="11"/>
  <c r="E20" i="11"/>
  <c r="D20" i="11"/>
  <c r="C20" i="11"/>
  <c r="B20" i="11"/>
  <c r="H15" i="11" l="1"/>
  <c r="H16" i="11"/>
  <c r="H5" i="11"/>
  <c r="H6" i="11"/>
  <c r="H7" i="11"/>
  <c r="H8" i="11"/>
  <c r="H9" i="11"/>
  <c r="H10" i="11"/>
  <c r="H11" i="11"/>
  <c r="H12" i="11"/>
  <c r="H13" i="11"/>
  <c r="H14" i="11" l="1"/>
  <c r="H17" i="11"/>
  <c r="H18" i="11"/>
  <c r="H20" i="11" l="1"/>
  <c r="G19" i="10"/>
  <c r="F19" i="10"/>
  <c r="E19" i="10"/>
  <c r="D19" i="10"/>
  <c r="C19" i="10"/>
  <c r="B19" i="10"/>
  <c r="H18" i="10"/>
  <c r="H17" i="10"/>
  <c r="H16" i="10"/>
  <c r="H15" i="10"/>
  <c r="H14" i="10"/>
  <c r="H13" i="10"/>
  <c r="H12" i="10"/>
  <c r="H11" i="10"/>
  <c r="H10" i="10"/>
  <c r="H9" i="10"/>
  <c r="H8" i="10"/>
  <c r="H7" i="10"/>
  <c r="H6" i="10"/>
  <c r="H5" i="10"/>
  <c r="I19" i="10" l="1"/>
  <c r="H19" i="10"/>
  <c r="H6" i="8"/>
  <c r="H7" i="8"/>
  <c r="H8" i="8"/>
  <c r="H9" i="8"/>
  <c r="H10" i="8"/>
  <c r="H11" i="8"/>
  <c r="H12" i="8"/>
  <c r="H13" i="8"/>
  <c r="H14" i="8"/>
  <c r="H15" i="8"/>
  <c r="H16" i="8"/>
  <c r="H17" i="8"/>
  <c r="H18" i="8"/>
  <c r="H5" i="8"/>
  <c r="H21" i="8" s="1"/>
  <c r="H6" i="9"/>
  <c r="H7" i="9"/>
  <c r="H8" i="9"/>
  <c r="H9" i="9"/>
  <c r="H10" i="9"/>
  <c r="H11" i="9"/>
  <c r="H12" i="9"/>
  <c r="H13" i="9"/>
  <c r="H14" i="9"/>
  <c r="H15" i="9"/>
  <c r="H16" i="9"/>
  <c r="H17" i="9"/>
  <c r="H18" i="9"/>
  <c r="H5" i="9"/>
  <c r="H21" i="9" l="1"/>
  <c r="G21" i="9"/>
  <c r="F21" i="9"/>
  <c r="E21" i="9"/>
  <c r="D21" i="9"/>
  <c r="C21" i="9"/>
  <c r="B21" i="9"/>
  <c r="I21" i="9" l="1"/>
  <c r="B21" i="8"/>
  <c r="G21" i="8" l="1"/>
  <c r="F21" i="8"/>
  <c r="E21" i="8"/>
  <c r="D21" i="8"/>
  <c r="C21" i="8"/>
  <c r="I21" i="8" s="1"/>
  <c r="G21" i="7" l="1"/>
  <c r="F21" i="7"/>
  <c r="E21" i="7"/>
  <c r="D21" i="7"/>
  <c r="C21" i="7"/>
  <c r="B21" i="7"/>
  <c r="H21" i="7" l="1"/>
  <c r="C33" i="6"/>
  <c r="D33" i="6"/>
  <c r="E33" i="6"/>
  <c r="F33" i="6"/>
  <c r="G33" i="6"/>
  <c r="B33" i="6"/>
  <c r="I20" i="11"/>
</calcChain>
</file>

<file path=xl/sharedStrings.xml><?xml version="1.0" encoding="utf-8"?>
<sst xmlns="http://schemas.openxmlformats.org/spreadsheetml/2006/main" count="743" uniqueCount="55">
  <si>
    <t>Date:</t>
  </si>
  <si>
    <t>Department/Division</t>
  </si>
  <si>
    <t>Staff in Office</t>
  </si>
  <si>
    <t>Wk Home</t>
  </si>
  <si>
    <t>Sick (057)</t>
  </si>
  <si>
    <t>Sick (067)</t>
  </si>
  <si>
    <t>Vacation</t>
  </si>
  <si>
    <t>AWS</t>
  </si>
  <si>
    <t>Notes</t>
  </si>
  <si>
    <t>Public Affairs</t>
  </si>
  <si>
    <t>Employee on vacation will be out until 3/30 and then work from home</t>
  </si>
  <si>
    <t>General Management</t>
  </si>
  <si>
    <t>O&amp;M Water Quality</t>
  </si>
  <si>
    <t>One person reporting symtomatic person in household</t>
  </si>
  <si>
    <t>O&amp;M Operations Control</t>
  </si>
  <si>
    <t>O&amp;M Water Treatment</t>
  </si>
  <si>
    <t>Total</t>
  </si>
  <si>
    <t>Engineering</t>
  </si>
  <si>
    <t>Sick leave is not symptomatic or exposure related</t>
  </si>
  <si>
    <t>Finance</t>
  </si>
  <si>
    <t>Human Resources</t>
  </si>
  <si>
    <t>IT</t>
  </si>
  <si>
    <t>Planning</t>
  </si>
  <si>
    <t>One backup employee in for training today.  Emergency depth of staff plan.</t>
  </si>
  <si>
    <t>O&amp;M Administration</t>
  </si>
  <si>
    <t>O&amp;M Central County</t>
  </si>
  <si>
    <t>*Wk Home Includes staff assigned to home.</t>
  </si>
  <si>
    <t>O&amp;M East County</t>
  </si>
  <si>
    <t>O&amp;M Distribution Maintenance</t>
  </si>
  <si>
    <t>*Includes swing/graveyard crews assigned to home.</t>
  </si>
  <si>
    <t>Pre-planned medical leave</t>
  </si>
  <si>
    <t>Employee on 067 is unrelated to COVID-19</t>
  </si>
  <si>
    <t>*Wk Home includes staff assigned to home.</t>
  </si>
  <si>
    <t>*Wk Home includes swing/graveyard crews assigned to home.</t>
  </si>
  <si>
    <t>Strategic Initiatives</t>
  </si>
  <si>
    <t>One resignation - new daily total</t>
  </si>
  <si>
    <t>One employee has possible COVID-19 symptoms</t>
  </si>
  <si>
    <t>Difference from yesterday</t>
  </si>
  <si>
    <t>Employee on 067 is childcare related</t>
  </si>
  <si>
    <t>Employee on 067 is childcare related *Wk Home includes swing/graveyard crews assigned to home.</t>
  </si>
  <si>
    <t>Employee on 057 does not have flu like symptoms  *Wk Home includes staff assigned to home.</t>
  </si>
  <si>
    <t>Note: Staff in Offices includes staff assigned lone field work in single vehicles</t>
  </si>
  <si>
    <t>Employee on 067 is unrelated to COVID-9 *Wk Home includes staff assigned to home.</t>
  </si>
  <si>
    <t>Self-Assessments Received</t>
  </si>
  <si>
    <t>yes</t>
  </si>
  <si>
    <t>no</t>
  </si>
  <si>
    <t>Employee on 057 is not symptomatic or exposure related.</t>
  </si>
  <si>
    <t>One of the employees working at home answered yes to one of the screening questions (sore throat)</t>
  </si>
  <si>
    <t>Note- one of the sick employees does have symptoms, but has been out of the office on long term leave for the past two months. The other ill employee does not have symptoms.</t>
  </si>
  <si>
    <t>Sick call non-related COVID-19 *Wk Home includes staff assigned to home.</t>
  </si>
  <si>
    <t>?</t>
  </si>
  <si>
    <t>One employee working from home with sore throat</t>
  </si>
  <si>
    <t>One employee on (057) has symptoms, but on long term leave for past 2 months. One employee (057) does not have symptoms. Employee (067) family member does not have symptoms.</t>
  </si>
  <si>
    <t xml:space="preserve">One employee on (057) has symptoms, but on long term leave for past 2 months. One employee (057) does not have symptoms. </t>
  </si>
  <si>
    <t>Employees on 067 are unrelated to COVID-19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</si>
</sst>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4"/>
      <color rgb="FF000000"/>
      <name val="Calibri"/>
      <family val="2"/>
    </font>
    <font>
      <b/>
      <sz val="11"/>
      <color rgb="FF000000"/>
      <name val="Calibri"/>
      <family val="2"/>
    </font>
    <font>
      <sz val="11"/>
      <color rgb="FF000000"/>
      <name val="Calibri"/>
      <family val="2"/>
    </font>
    <font>
      <sz val="11"/>
      <color rgb="FF000000"/>
      <name val="Calibri"/>
      <family val="2"/>
      <scheme val="minor"/>
    </font>
  </fonts>
  <fills count="3">
    <fill>
      <patternFill patternType="none"/>
    </fill>
    <fill>
      <patternFill patternType="gray125"/>
    </fill>
    <fill>
      <patternFill patternType="solid">
        <fgColor rgb="FFFFFF00"/>
        <bgColor indexed="64"/>
      </patternFill>
    </fill>
  </fills>
  <borders count="26">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style="medium">
        <color indexed="64"/>
      </right>
      <top/>
      <bottom style="medium">
        <color indexed="64"/>
      </bottom>
      <diagonal/>
    </border>
    <border>
      <left style="thin">
        <color auto="1"/>
      </left>
      <right/>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indexed="64"/>
      </bottom>
      <diagonal/>
    </border>
    <border>
      <left/>
      <right style="medium">
        <color indexed="64"/>
      </right>
      <top/>
      <bottom style="thin">
        <color auto="1"/>
      </bottom>
      <diagonal/>
    </border>
    <border>
      <left/>
      <right style="medium">
        <color indexed="64"/>
      </right>
      <top style="thin">
        <color auto="1"/>
      </top>
      <bottom style="thin">
        <color auto="1"/>
      </bottom>
      <diagonal/>
    </border>
    <border>
      <left/>
      <right style="medium">
        <color indexed="64"/>
      </right>
      <top style="thin">
        <color auto="1"/>
      </top>
      <bottom style="medium">
        <color indexed="64"/>
      </bottom>
      <diagonal/>
    </border>
    <border>
      <left style="thin">
        <color auto="1"/>
      </left>
      <right style="medium">
        <color auto="1"/>
      </right>
      <top style="medium">
        <color indexed="64"/>
      </top>
      <bottom style="thin">
        <color auto="1"/>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indexed="64"/>
      </right>
      <top/>
      <bottom/>
      <diagonal/>
    </border>
    <border>
      <left/>
      <right style="medium">
        <color indexed="64"/>
      </right>
      <top style="thin">
        <color auto="1"/>
      </top>
      <bottom/>
      <diagonal/>
    </border>
    <border>
      <left/>
      <right style="medium">
        <color indexed="64"/>
      </right>
      <top/>
      <bottom/>
      <diagonal/>
    </border>
    <border>
      <left style="medium">
        <color indexed="64"/>
      </left>
      <right style="medium">
        <color indexed="64"/>
      </right>
      <top style="thin">
        <color indexed="64"/>
      </top>
      <bottom style="thin">
        <color auto="1"/>
      </bottom>
      <diagonal/>
    </border>
  </borders>
  <cellStyleXfs count="1">
    <xf numFmtId="0" fontId="0" fillId="0" borderId="0"/>
  </cellStyleXfs>
  <cellXfs count="53">
    <xf numFmtId="0" fontId="0" fillId="0" borderId="0" xfId="0"/>
    <xf numFmtId="0" fontId="0" fillId="0" borderId="0" xfId="0" applyAlignment="1">
      <alignment horizontal="center" vertical="center"/>
    </xf>
    <xf numFmtId="0" fontId="0" fillId="0" borderId="5" xfId="0" applyBorder="1"/>
    <xf numFmtId="0" fontId="0" fillId="0" borderId="7" xfId="0" applyBorder="1"/>
    <xf numFmtId="0" fontId="3" fillId="0" borderId="10" xfId="0" applyFont="1" applyBorder="1" applyAlignment="1">
      <alignment vertical="center"/>
    </xf>
    <xf numFmtId="0" fontId="3" fillId="0" borderId="2" xfId="0" applyFont="1" applyBorder="1" applyAlignment="1">
      <alignment horizontal="center" vertical="center"/>
    </xf>
    <xf numFmtId="14" fontId="0" fillId="0" borderId="0" xfId="0" applyNumberFormat="1" applyAlignment="1">
      <alignment horizontal="center" vertical="center"/>
    </xf>
    <xf numFmtId="0" fontId="0" fillId="0" borderId="1" xfId="0" applyBorder="1" applyAlignment="1">
      <alignment horizontal="center" vertical="center"/>
    </xf>
    <xf numFmtId="0" fontId="0" fillId="0" borderId="8" xfId="0" applyBorder="1" applyAlignment="1">
      <alignment horizontal="center" vertical="center"/>
    </xf>
    <xf numFmtId="0" fontId="4" fillId="0" borderId="11" xfId="0" applyFont="1" applyBorder="1" applyAlignment="1">
      <alignment horizontal="left" vertical="center" wrapText="1"/>
    </xf>
    <xf numFmtId="0" fontId="0" fillId="0" borderId="6" xfId="0" applyBorder="1" applyAlignment="1">
      <alignment horizontal="left" vertical="center" wrapText="1"/>
    </xf>
    <xf numFmtId="0" fontId="0" fillId="0" borderId="9" xfId="0" applyBorder="1" applyAlignment="1">
      <alignment horizontal="left" vertical="center" wrapText="1"/>
    </xf>
    <xf numFmtId="0" fontId="0" fillId="0" borderId="0" xfId="0" applyAlignment="1">
      <alignment horizontal="left" vertical="center"/>
    </xf>
    <xf numFmtId="0" fontId="3" fillId="0" borderId="10" xfId="0" applyFont="1" applyBorder="1" applyAlignment="1">
      <alignment horizontal="left" vertical="center"/>
    </xf>
    <xf numFmtId="0" fontId="0" fillId="0" borderId="5" xfId="0" applyBorder="1" applyAlignment="1">
      <alignment horizontal="left" vertical="center"/>
    </xf>
    <xf numFmtId="0" fontId="0" fillId="0" borderId="7" xfId="0" applyBorder="1" applyAlignment="1">
      <alignment horizontal="left" vertical="center"/>
    </xf>
    <xf numFmtId="0" fontId="3" fillId="0" borderId="12" xfId="0" applyFont="1" applyBorder="1" applyAlignment="1">
      <alignment vertical="center"/>
    </xf>
    <xf numFmtId="0" fontId="3" fillId="0" borderId="13" xfId="0" applyFont="1"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3" fillId="0" borderId="1" xfId="0" applyFont="1" applyBorder="1" applyAlignment="1">
      <alignment horizontal="center" vertical="center"/>
    </xf>
    <xf numFmtId="0" fontId="4" fillId="0" borderId="16" xfId="0" applyFont="1" applyBorder="1" applyAlignment="1">
      <alignment horizontal="left" vertical="center" wrapText="1"/>
    </xf>
    <xf numFmtId="0" fontId="0" fillId="0" borderId="17" xfId="0" applyBorder="1" applyAlignment="1">
      <alignment horizontal="left" vertical="center" wrapText="1"/>
    </xf>
    <xf numFmtId="0" fontId="0" fillId="0" borderId="18" xfId="0" applyBorder="1" applyAlignment="1">
      <alignment horizontal="left" vertical="center" wrapText="1"/>
    </xf>
    <xf numFmtId="0" fontId="3" fillId="0" borderId="19" xfId="0" applyFont="1" applyBorder="1" applyAlignment="1">
      <alignment horizontal="center" vertical="center"/>
    </xf>
    <xf numFmtId="0" fontId="3" fillId="0" borderId="11" xfId="0" applyFont="1" applyBorder="1" applyAlignment="1">
      <alignment horizontal="center" vertical="center"/>
    </xf>
    <xf numFmtId="0" fontId="3" fillId="0" borderId="6" xfId="0" applyFont="1" applyBorder="1" applyAlignment="1">
      <alignment horizontal="center" vertical="center"/>
    </xf>
    <xf numFmtId="0" fontId="0" fillId="0" borderId="9" xfId="0" applyBorder="1" applyAlignment="1">
      <alignment horizontal="center" vertical="center"/>
    </xf>
    <xf numFmtId="0" fontId="0" fillId="0" borderId="20" xfId="0" applyBorder="1" applyAlignment="1">
      <alignment horizontal="left" vertical="center"/>
    </xf>
    <xf numFmtId="0" fontId="0" fillId="0" borderId="21" xfId="0" applyBorder="1" applyAlignment="1">
      <alignment horizontal="center" vertical="center"/>
    </xf>
    <xf numFmtId="0" fontId="3" fillId="0" borderId="22" xfId="0" applyFont="1" applyBorder="1" applyAlignment="1">
      <alignment horizontal="center" vertical="center"/>
    </xf>
    <xf numFmtId="0" fontId="0" fillId="0" borderId="23" xfId="0" applyBorder="1" applyAlignment="1">
      <alignment horizontal="left" vertical="center" wrapText="1"/>
    </xf>
    <xf numFmtId="0" fontId="0" fillId="0" borderId="1" xfId="0" applyFill="1" applyBorder="1" applyAlignment="1">
      <alignment horizontal="center" vertical="center"/>
    </xf>
    <xf numFmtId="0" fontId="3" fillId="0" borderId="11" xfId="0" applyFont="1" applyFill="1" applyBorder="1" applyAlignment="1">
      <alignment horizontal="center" vertical="center"/>
    </xf>
    <xf numFmtId="0" fontId="3" fillId="0" borderId="16" xfId="0" applyFont="1" applyBorder="1" applyAlignment="1">
      <alignment horizontal="center" vertical="center"/>
    </xf>
    <xf numFmtId="0" fontId="3" fillId="0" borderId="16" xfId="0" applyFont="1" applyFill="1" applyBorder="1" applyAlignment="1">
      <alignment horizontal="center" vertical="center"/>
    </xf>
    <xf numFmtId="0" fontId="3" fillId="0" borderId="24" xfId="0" applyFont="1" applyBorder="1" applyAlignment="1">
      <alignment horizontal="center" vertical="center"/>
    </xf>
    <xf numFmtId="0" fontId="0" fillId="0" borderId="18" xfId="0" applyBorder="1" applyAlignment="1">
      <alignment horizontal="center" vertical="center"/>
    </xf>
    <xf numFmtId="0" fontId="3" fillId="2" borderId="16" xfId="0" applyFont="1" applyFill="1" applyBorder="1" applyAlignment="1">
      <alignment horizontal="center" vertical="center"/>
    </xf>
    <xf numFmtId="0" fontId="3" fillId="0" borderId="24" xfId="0" applyFont="1" applyFill="1" applyBorder="1" applyAlignment="1">
      <alignment horizontal="center" vertical="center"/>
    </xf>
    <xf numFmtId="0" fontId="3" fillId="0" borderId="25" xfId="0" applyFont="1" applyFill="1" applyBorder="1" applyAlignment="1">
      <alignment horizontal="center" vertical="center"/>
    </xf>
    <xf numFmtId="0" fontId="3" fillId="2" borderId="24" xfId="0" applyFont="1" applyFill="1" applyBorder="1" applyAlignment="1">
      <alignment horizontal="center" vertical="center"/>
    </xf>
    <xf numFmtId="0" fontId="4" fillId="0" borderId="16" xfId="0" applyFont="1" applyBorder="1" applyAlignment="1">
      <alignment horizontal="center" vertical="center" wrapText="1"/>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1" fillId="0" borderId="3" xfId="0" applyFont="1" applyBorder="1" applyAlignment="1">
      <alignment horizontal="center" vertical="center"/>
    </xf>
    <xf numFmtId="0" fontId="1" fillId="0" borderId="4" xfId="0" applyFont="1" applyBorder="1" applyAlignment="1">
      <alignment horizontal="center" vertical="center"/>
    </xf>
    <xf numFmtId="0" fontId="1" fillId="0" borderId="3" xfId="0" applyFont="1" applyBorder="1" applyAlignment="1">
      <alignment horizontal="left" vertical="center"/>
    </xf>
    <xf numFmtId="0" fontId="1" fillId="0" borderId="4" xfId="0" applyFont="1" applyBorder="1" applyAlignment="1">
      <alignment horizontal="left" vertical="center"/>
    </xf>
    <xf numFmtId="0" fontId="2" fillId="0" borderId="3" xfId="0" applyFont="1" applyBorder="1" applyAlignment="1">
      <alignment horizontal="center" vertical="center" wrapText="1"/>
    </xf>
    <xf numFmtId="0" fontId="2" fillId="0" borderId="4"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BF45CA-B700-4CBE-8BDF-902CCAF81AFF}">
  <sheetPr codeName="Sheet1"/>
  <dimension ref="A1:H33"/>
  <sheetViews>
    <sheetView topLeftCell="A4" workbookViewId="0">
      <selection activeCell="E15" sqref="E15"/>
    </sheetView>
  </sheetViews>
  <sheetFormatPr defaultRowHeight="15" x14ac:dyDescent="0.25"/>
  <cols>
    <col min="1" max="1" width="30.85546875" customWidth="1"/>
    <col min="2" max="2" width="14.7109375" style="1" customWidth="1"/>
    <col min="3" max="7" width="10.7109375" style="1" customWidth="1"/>
    <col min="8" max="8" width="79.42578125" customWidth="1"/>
  </cols>
  <sheetData>
    <row r="1" spans="1:8" x14ac:dyDescent="0.25">
      <c r="A1" t="s">
        <v>0</v>
      </c>
      <c r="B1" s="6">
        <v>43913</v>
      </c>
    </row>
    <row r="2" spans="1:8" ht="15.75" thickBot="1" x14ac:dyDescent="0.3"/>
    <row r="3" spans="1:8" ht="15" customHeight="1" x14ac:dyDescent="0.25">
      <c r="A3" s="47" t="s">
        <v>1</v>
      </c>
      <c r="B3" s="45" t="s">
        <v>2</v>
      </c>
      <c r="C3" s="45" t="s">
        <v>3</v>
      </c>
      <c r="D3" s="45" t="s">
        <v>4</v>
      </c>
      <c r="E3" s="45" t="s">
        <v>5</v>
      </c>
      <c r="F3" s="45" t="s">
        <v>6</v>
      </c>
      <c r="G3" s="45" t="s">
        <v>7</v>
      </c>
      <c r="H3" s="45" t="s">
        <v>8</v>
      </c>
    </row>
    <row r="4" spans="1:8" ht="15" customHeight="1" thickBot="1" x14ac:dyDescent="0.3">
      <c r="A4" s="48"/>
      <c r="B4" s="46"/>
      <c r="C4" s="46"/>
      <c r="D4" s="46"/>
      <c r="E4" s="46"/>
      <c r="F4" s="46"/>
      <c r="G4" s="46"/>
      <c r="H4" s="46"/>
    </row>
    <row r="5" spans="1:8" ht="22.5" customHeight="1" x14ac:dyDescent="0.25">
      <c r="A5" s="4" t="s">
        <v>9</v>
      </c>
      <c r="B5" s="5">
        <v>1</v>
      </c>
      <c r="C5" s="5">
        <v>3</v>
      </c>
      <c r="D5" s="5">
        <v>0</v>
      </c>
      <c r="E5" s="5">
        <v>0</v>
      </c>
      <c r="F5" s="5">
        <v>1</v>
      </c>
      <c r="G5" s="5">
        <v>0</v>
      </c>
      <c r="H5" s="9" t="s">
        <v>10</v>
      </c>
    </row>
    <row r="6" spans="1:8" ht="22.5" customHeight="1" x14ac:dyDescent="0.25">
      <c r="A6" s="2" t="s">
        <v>11</v>
      </c>
      <c r="B6" s="7"/>
      <c r="C6" s="7"/>
      <c r="D6" s="7"/>
      <c r="E6" s="7"/>
      <c r="F6" s="7"/>
      <c r="G6" s="7"/>
      <c r="H6" s="10"/>
    </row>
    <row r="7" spans="1:8" ht="22.5" customHeight="1" x14ac:dyDescent="0.25">
      <c r="A7" s="2" t="s">
        <v>12</v>
      </c>
      <c r="B7" s="7"/>
      <c r="C7" s="7">
        <v>1</v>
      </c>
      <c r="D7" s="7">
        <v>0</v>
      </c>
      <c r="E7" s="7">
        <v>2</v>
      </c>
      <c r="F7" s="7">
        <v>0</v>
      </c>
      <c r="G7" s="7">
        <v>0</v>
      </c>
      <c r="H7" s="10" t="s">
        <v>13</v>
      </c>
    </row>
    <row r="8" spans="1:8" ht="22.5" customHeight="1" x14ac:dyDescent="0.25">
      <c r="A8" s="2" t="s">
        <v>14</v>
      </c>
      <c r="B8" s="7">
        <v>4</v>
      </c>
      <c r="C8" s="7">
        <v>1</v>
      </c>
      <c r="D8" s="7">
        <v>0</v>
      </c>
      <c r="E8" s="7">
        <v>0</v>
      </c>
      <c r="F8" s="7">
        <v>0</v>
      </c>
      <c r="G8" s="7">
        <v>0</v>
      </c>
      <c r="H8" s="10"/>
    </row>
    <row r="9" spans="1:8" ht="22.5" customHeight="1" x14ac:dyDescent="0.25">
      <c r="A9" s="2" t="s">
        <v>15</v>
      </c>
      <c r="B9" s="7"/>
      <c r="C9" s="7"/>
      <c r="D9" s="7"/>
      <c r="E9" s="7"/>
      <c r="F9" s="7"/>
      <c r="G9" s="7"/>
      <c r="H9" s="10"/>
    </row>
    <row r="10" spans="1:8" ht="22.5" customHeight="1" x14ac:dyDescent="0.25">
      <c r="A10" s="2"/>
      <c r="B10" s="7"/>
      <c r="C10" s="7"/>
      <c r="D10" s="7"/>
      <c r="E10" s="7"/>
      <c r="F10" s="7"/>
      <c r="G10" s="7"/>
      <c r="H10" s="10"/>
    </row>
    <row r="11" spans="1:8" ht="22.5" customHeight="1" x14ac:dyDescent="0.25">
      <c r="A11" s="2"/>
      <c r="B11" s="7"/>
      <c r="C11" s="7"/>
      <c r="D11" s="7"/>
      <c r="E11" s="7"/>
      <c r="F11" s="7"/>
      <c r="G11" s="7"/>
      <c r="H11" s="10"/>
    </row>
    <row r="12" spans="1:8" ht="22.5" customHeight="1" x14ac:dyDescent="0.25">
      <c r="A12" s="2"/>
      <c r="B12" s="7"/>
      <c r="C12" s="7"/>
      <c r="D12" s="7"/>
      <c r="E12" s="7"/>
      <c r="F12" s="7"/>
      <c r="G12" s="7"/>
      <c r="H12" s="10"/>
    </row>
    <row r="13" spans="1:8" ht="22.5" customHeight="1" x14ac:dyDescent="0.25">
      <c r="A13" s="2"/>
      <c r="B13" s="7"/>
      <c r="C13" s="7"/>
      <c r="D13" s="7"/>
      <c r="E13" s="7"/>
      <c r="F13" s="7"/>
      <c r="G13" s="7"/>
      <c r="H13" s="10"/>
    </row>
    <row r="14" spans="1:8" ht="22.5" customHeight="1" x14ac:dyDescent="0.25">
      <c r="A14" s="2"/>
      <c r="B14" s="7"/>
      <c r="C14" s="7"/>
      <c r="D14" s="7"/>
      <c r="E14" s="7"/>
      <c r="F14" s="7"/>
      <c r="G14" s="7"/>
      <c r="H14" s="10"/>
    </row>
    <row r="15" spans="1:8" ht="22.5" customHeight="1" x14ac:dyDescent="0.25">
      <c r="A15" s="2"/>
      <c r="B15" s="7"/>
      <c r="C15" s="7"/>
      <c r="D15" s="7"/>
      <c r="E15" s="7"/>
      <c r="F15" s="7"/>
      <c r="G15" s="7"/>
      <c r="H15" s="10"/>
    </row>
    <row r="16" spans="1:8" ht="22.5" customHeight="1" x14ac:dyDescent="0.25">
      <c r="A16" s="2"/>
      <c r="B16" s="7"/>
      <c r="C16" s="7"/>
      <c r="D16" s="7"/>
      <c r="E16" s="7"/>
      <c r="F16" s="7"/>
      <c r="G16" s="7"/>
      <c r="H16" s="10"/>
    </row>
    <row r="17" spans="1:8" ht="22.5" customHeight="1" x14ac:dyDescent="0.25">
      <c r="A17" s="2"/>
      <c r="B17" s="7"/>
      <c r="C17" s="7"/>
      <c r="D17" s="7"/>
      <c r="E17" s="7"/>
      <c r="F17" s="7"/>
      <c r="G17" s="7"/>
      <c r="H17" s="10"/>
    </row>
    <row r="18" spans="1:8" ht="22.5" customHeight="1" x14ac:dyDescent="0.25">
      <c r="A18" s="2"/>
      <c r="B18" s="7"/>
      <c r="C18" s="7"/>
      <c r="D18" s="7"/>
      <c r="E18" s="7"/>
      <c r="F18" s="7"/>
      <c r="G18" s="7"/>
      <c r="H18" s="10"/>
    </row>
    <row r="19" spans="1:8" ht="22.5" customHeight="1" x14ac:dyDescent="0.25">
      <c r="A19" s="2"/>
      <c r="B19" s="7"/>
      <c r="C19" s="7"/>
      <c r="D19" s="7"/>
      <c r="E19" s="7"/>
      <c r="F19" s="7"/>
      <c r="G19" s="7"/>
      <c r="H19" s="10"/>
    </row>
    <row r="20" spans="1:8" ht="22.5" customHeight="1" x14ac:dyDescent="0.25">
      <c r="A20" s="2"/>
      <c r="B20" s="7"/>
      <c r="C20" s="7"/>
      <c r="D20" s="7"/>
      <c r="E20" s="7"/>
      <c r="F20" s="7"/>
      <c r="G20" s="7"/>
      <c r="H20" s="10"/>
    </row>
    <row r="21" spans="1:8" ht="22.5" customHeight="1" x14ac:dyDescent="0.25">
      <c r="A21" s="2"/>
      <c r="B21" s="7"/>
      <c r="C21" s="7"/>
      <c r="D21" s="7"/>
      <c r="E21" s="7"/>
      <c r="F21" s="7"/>
      <c r="G21" s="7"/>
      <c r="H21" s="10"/>
    </row>
    <row r="22" spans="1:8" ht="22.5" customHeight="1" x14ac:dyDescent="0.25">
      <c r="A22" s="2"/>
      <c r="B22" s="7"/>
      <c r="C22" s="7"/>
      <c r="D22" s="7"/>
      <c r="E22" s="7"/>
      <c r="F22" s="7"/>
      <c r="G22" s="7"/>
      <c r="H22" s="10"/>
    </row>
    <row r="23" spans="1:8" ht="22.5" customHeight="1" x14ac:dyDescent="0.25">
      <c r="A23" s="2"/>
      <c r="B23" s="7"/>
      <c r="C23" s="7"/>
      <c r="D23" s="7"/>
      <c r="E23" s="7"/>
      <c r="F23" s="7"/>
      <c r="G23" s="7"/>
      <c r="H23" s="10"/>
    </row>
    <row r="24" spans="1:8" ht="22.5" customHeight="1" x14ac:dyDescent="0.25">
      <c r="A24" s="2"/>
      <c r="B24" s="7"/>
      <c r="C24" s="7"/>
      <c r="D24" s="7"/>
      <c r="E24" s="7"/>
      <c r="F24" s="7"/>
      <c r="G24" s="7"/>
      <c r="H24" s="10"/>
    </row>
    <row r="25" spans="1:8" ht="22.5" customHeight="1" x14ac:dyDescent="0.25">
      <c r="A25" s="2"/>
      <c r="B25" s="7"/>
      <c r="C25" s="7"/>
      <c r="D25" s="7"/>
      <c r="E25" s="7"/>
      <c r="F25" s="7"/>
      <c r="G25" s="7"/>
      <c r="H25" s="10"/>
    </row>
    <row r="26" spans="1:8" ht="22.5" customHeight="1" x14ac:dyDescent="0.25">
      <c r="A26" s="2"/>
      <c r="B26" s="7"/>
      <c r="C26" s="7"/>
      <c r="D26" s="7"/>
      <c r="E26" s="7"/>
      <c r="F26" s="7"/>
      <c r="G26" s="7"/>
      <c r="H26" s="10"/>
    </row>
    <row r="27" spans="1:8" ht="22.5" customHeight="1" x14ac:dyDescent="0.25">
      <c r="A27" s="2"/>
      <c r="B27" s="7"/>
      <c r="C27" s="7"/>
      <c r="D27" s="7"/>
      <c r="E27" s="7"/>
      <c r="F27" s="7"/>
      <c r="G27" s="7"/>
      <c r="H27" s="10"/>
    </row>
    <row r="28" spans="1:8" ht="22.5" customHeight="1" x14ac:dyDescent="0.25">
      <c r="A28" s="2"/>
      <c r="B28" s="7"/>
      <c r="C28" s="7"/>
      <c r="D28" s="7"/>
      <c r="E28" s="7"/>
      <c r="F28" s="7"/>
      <c r="G28" s="7"/>
      <c r="H28" s="10"/>
    </row>
    <row r="29" spans="1:8" ht="22.5" customHeight="1" x14ac:dyDescent="0.25">
      <c r="A29" s="2"/>
      <c r="B29" s="7"/>
      <c r="C29" s="7"/>
      <c r="D29" s="7"/>
      <c r="E29" s="7"/>
      <c r="F29" s="7"/>
      <c r="G29" s="7"/>
      <c r="H29" s="10"/>
    </row>
    <row r="30" spans="1:8" ht="22.5" customHeight="1" x14ac:dyDescent="0.25">
      <c r="A30" s="2"/>
      <c r="B30" s="7"/>
      <c r="C30" s="7"/>
      <c r="D30" s="7"/>
      <c r="E30" s="7"/>
      <c r="F30" s="7"/>
      <c r="G30" s="7"/>
      <c r="H30" s="10"/>
    </row>
    <row r="31" spans="1:8" ht="22.5" customHeight="1" x14ac:dyDescent="0.25">
      <c r="A31" s="2"/>
      <c r="B31" s="7"/>
      <c r="C31" s="7"/>
      <c r="D31" s="7"/>
      <c r="E31" s="7"/>
      <c r="F31" s="7"/>
      <c r="G31" s="7"/>
      <c r="H31" s="10"/>
    </row>
    <row r="32" spans="1:8" ht="22.5" customHeight="1" x14ac:dyDescent="0.25">
      <c r="A32" s="2"/>
      <c r="B32" s="7"/>
      <c r="C32" s="7"/>
      <c r="D32" s="7"/>
      <c r="E32" s="7"/>
      <c r="F32" s="7"/>
      <c r="G32" s="7"/>
      <c r="H32" s="10"/>
    </row>
    <row r="33" spans="1:8" ht="22.5" customHeight="1" thickBot="1" x14ac:dyDescent="0.3">
      <c r="A33" s="3" t="s">
        <v>16</v>
      </c>
      <c r="B33" s="8">
        <f>SUM(B5:B32)</f>
        <v>5</v>
      </c>
      <c r="C33" s="8">
        <f t="shared" ref="C33:G33" si="0">SUM(C5:C32)</f>
        <v>5</v>
      </c>
      <c r="D33" s="8">
        <f t="shared" si="0"/>
        <v>0</v>
      </c>
      <c r="E33" s="8">
        <f t="shared" si="0"/>
        <v>2</v>
      </c>
      <c r="F33" s="8">
        <f t="shared" si="0"/>
        <v>1</v>
      </c>
      <c r="G33" s="8">
        <f t="shared" si="0"/>
        <v>0</v>
      </c>
      <c r="H33" s="11"/>
    </row>
  </sheetData>
  <mergeCells count="8">
    <mergeCell ref="H3:H4"/>
    <mergeCell ref="A3:A4"/>
    <mergeCell ref="B3:B4"/>
    <mergeCell ref="C3:C4"/>
    <mergeCell ref="D3:D4"/>
    <mergeCell ref="E3:E4"/>
    <mergeCell ref="G3:G4"/>
    <mergeCell ref="F3:F4"/>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622C13-A1C1-4C98-A17C-89BFFA2B8DFD}">
  <sheetPr codeName="Sheet2"/>
  <dimension ref="A1:H21"/>
  <sheetViews>
    <sheetView workbookViewId="0">
      <selection activeCell="E18" sqref="E18"/>
    </sheetView>
  </sheetViews>
  <sheetFormatPr defaultRowHeight="15" x14ac:dyDescent="0.25"/>
  <cols>
    <col min="1" max="1" width="30.85546875" style="12" customWidth="1"/>
    <col min="2" max="2" width="14.7109375" style="1" customWidth="1"/>
    <col min="3" max="7" width="10.7109375" style="1" customWidth="1"/>
    <col min="8" max="8" width="79.42578125" customWidth="1"/>
  </cols>
  <sheetData>
    <row r="1" spans="1:8" x14ac:dyDescent="0.25">
      <c r="A1" s="12" t="s">
        <v>0</v>
      </c>
      <c r="B1" s="6">
        <v>43914</v>
      </c>
    </row>
    <row r="2" spans="1:8" ht="15.75" thickBot="1" x14ac:dyDescent="0.3"/>
    <row r="3" spans="1:8" ht="15" customHeight="1" x14ac:dyDescent="0.25">
      <c r="A3" s="49" t="s">
        <v>1</v>
      </c>
      <c r="B3" s="45" t="s">
        <v>2</v>
      </c>
      <c r="C3" s="45" t="s">
        <v>3</v>
      </c>
      <c r="D3" s="45" t="s">
        <v>4</v>
      </c>
      <c r="E3" s="45" t="s">
        <v>5</v>
      </c>
      <c r="F3" s="45" t="s">
        <v>6</v>
      </c>
      <c r="G3" s="45" t="s">
        <v>7</v>
      </c>
      <c r="H3" s="45" t="s">
        <v>8</v>
      </c>
    </row>
    <row r="4" spans="1:8" ht="15" customHeight="1" thickBot="1" x14ac:dyDescent="0.3">
      <c r="A4" s="50"/>
      <c r="B4" s="46"/>
      <c r="C4" s="46"/>
      <c r="D4" s="46"/>
      <c r="E4" s="46"/>
      <c r="F4" s="46"/>
      <c r="G4" s="46"/>
      <c r="H4" s="46"/>
    </row>
    <row r="5" spans="1:8" ht="22.5" customHeight="1" x14ac:dyDescent="0.25">
      <c r="A5" s="13" t="s">
        <v>17</v>
      </c>
      <c r="B5" s="5">
        <v>12</v>
      </c>
      <c r="C5" s="5">
        <v>16</v>
      </c>
      <c r="D5" s="5">
        <v>2</v>
      </c>
      <c r="E5" s="5">
        <v>0</v>
      </c>
      <c r="F5" s="5">
        <v>1</v>
      </c>
      <c r="G5" s="5">
        <v>0</v>
      </c>
      <c r="H5" s="9" t="s">
        <v>18</v>
      </c>
    </row>
    <row r="6" spans="1:8" ht="22.5" customHeight="1" x14ac:dyDescent="0.25">
      <c r="A6" s="13" t="s">
        <v>19</v>
      </c>
      <c r="B6" s="5">
        <v>23</v>
      </c>
      <c r="C6" s="5">
        <v>14</v>
      </c>
      <c r="D6" s="5">
        <v>1</v>
      </c>
      <c r="E6" s="5">
        <v>0</v>
      </c>
      <c r="F6" s="5">
        <v>3</v>
      </c>
      <c r="G6" s="5">
        <v>0</v>
      </c>
      <c r="H6" s="9"/>
    </row>
    <row r="7" spans="1:8" ht="22.5" customHeight="1" x14ac:dyDescent="0.25">
      <c r="A7" s="13" t="s">
        <v>11</v>
      </c>
      <c r="B7" s="5">
        <v>8</v>
      </c>
      <c r="C7" s="5">
        <v>0</v>
      </c>
      <c r="D7" s="5">
        <v>0</v>
      </c>
      <c r="E7" s="5">
        <v>1</v>
      </c>
      <c r="F7" s="5">
        <v>0</v>
      </c>
      <c r="G7" s="5">
        <v>0</v>
      </c>
      <c r="H7" s="9"/>
    </row>
    <row r="8" spans="1:8" ht="22.5" customHeight="1" x14ac:dyDescent="0.25">
      <c r="A8" s="13" t="s">
        <v>20</v>
      </c>
      <c r="B8" s="5">
        <v>8</v>
      </c>
      <c r="C8" s="5">
        <v>0</v>
      </c>
      <c r="D8" s="5">
        <v>0</v>
      </c>
      <c r="E8" s="5">
        <v>0</v>
      </c>
      <c r="F8" s="5">
        <v>0</v>
      </c>
      <c r="G8" s="5">
        <v>0</v>
      </c>
      <c r="H8" s="9"/>
    </row>
    <row r="9" spans="1:8" ht="22.5" customHeight="1" x14ac:dyDescent="0.25">
      <c r="A9" s="13" t="s">
        <v>21</v>
      </c>
      <c r="B9" s="5">
        <v>3</v>
      </c>
      <c r="C9" s="5">
        <v>5</v>
      </c>
      <c r="D9" s="5">
        <v>0</v>
      </c>
      <c r="E9" s="5">
        <v>0</v>
      </c>
      <c r="F9" s="5">
        <v>0</v>
      </c>
      <c r="G9" s="5">
        <v>0</v>
      </c>
      <c r="H9" s="9"/>
    </row>
    <row r="10" spans="1:8" ht="22.5" customHeight="1" x14ac:dyDescent="0.25">
      <c r="A10" s="13" t="s">
        <v>22</v>
      </c>
      <c r="B10" s="5">
        <v>13</v>
      </c>
      <c r="C10" s="5">
        <v>17</v>
      </c>
      <c r="D10" s="5">
        <v>0</v>
      </c>
      <c r="E10" s="5">
        <v>0</v>
      </c>
      <c r="F10" s="5">
        <v>0</v>
      </c>
      <c r="G10" s="5">
        <v>0</v>
      </c>
      <c r="H10" s="9"/>
    </row>
    <row r="11" spans="1:8" ht="22.5" customHeight="1" x14ac:dyDescent="0.25">
      <c r="A11" s="13" t="s">
        <v>9</v>
      </c>
      <c r="B11" s="5">
        <v>1</v>
      </c>
      <c r="C11" s="5">
        <v>3</v>
      </c>
      <c r="D11" s="5">
        <v>0</v>
      </c>
      <c r="E11" s="5">
        <v>0</v>
      </c>
      <c r="F11" s="5">
        <v>1</v>
      </c>
      <c r="G11" s="5">
        <v>0</v>
      </c>
      <c r="H11" s="9" t="s">
        <v>10</v>
      </c>
    </row>
    <row r="12" spans="1:8" ht="22.5" customHeight="1" x14ac:dyDescent="0.25">
      <c r="A12" s="13" t="s">
        <v>12</v>
      </c>
      <c r="B12" s="5">
        <v>7</v>
      </c>
      <c r="C12" s="5">
        <v>3</v>
      </c>
      <c r="D12" s="5">
        <v>0</v>
      </c>
      <c r="E12" s="5">
        <v>1</v>
      </c>
      <c r="F12" s="5">
        <v>1</v>
      </c>
      <c r="G12" s="5">
        <v>0</v>
      </c>
      <c r="H12" s="9"/>
    </row>
    <row r="13" spans="1:8" ht="22.5" customHeight="1" x14ac:dyDescent="0.25">
      <c r="A13" s="14" t="s">
        <v>14</v>
      </c>
      <c r="B13" s="7">
        <v>3</v>
      </c>
      <c r="C13" s="7">
        <v>1</v>
      </c>
      <c r="D13" s="7">
        <v>0</v>
      </c>
      <c r="E13" s="7">
        <v>0</v>
      </c>
      <c r="F13" s="7">
        <v>0</v>
      </c>
      <c r="G13" s="7">
        <v>0</v>
      </c>
      <c r="H13" s="10" t="s">
        <v>23</v>
      </c>
    </row>
    <row r="14" spans="1:8" ht="22.5" customHeight="1" x14ac:dyDescent="0.25">
      <c r="A14" s="14" t="s">
        <v>15</v>
      </c>
      <c r="B14" s="7">
        <v>8</v>
      </c>
      <c r="C14" s="7">
        <v>4</v>
      </c>
      <c r="D14" s="7">
        <v>0</v>
      </c>
      <c r="E14" s="7">
        <v>0</v>
      </c>
      <c r="F14" s="7">
        <v>2</v>
      </c>
      <c r="G14" s="7">
        <v>1</v>
      </c>
      <c r="H14" s="10" t="s">
        <v>23</v>
      </c>
    </row>
    <row r="15" spans="1:8" ht="22.5" customHeight="1" x14ac:dyDescent="0.25">
      <c r="A15" s="14" t="s">
        <v>24</v>
      </c>
      <c r="B15" s="7">
        <v>6</v>
      </c>
      <c r="C15" s="7">
        <v>2</v>
      </c>
      <c r="D15" s="7">
        <v>0</v>
      </c>
      <c r="E15" s="7">
        <v>0</v>
      </c>
      <c r="F15" s="7">
        <v>0</v>
      </c>
      <c r="G15" s="7">
        <v>0</v>
      </c>
      <c r="H15" s="10"/>
    </row>
    <row r="16" spans="1:8" ht="22.5" customHeight="1" x14ac:dyDescent="0.25">
      <c r="A16" s="14" t="s">
        <v>25</v>
      </c>
      <c r="B16" s="7">
        <v>15</v>
      </c>
      <c r="C16" s="7">
        <v>10</v>
      </c>
      <c r="D16" s="7">
        <v>0</v>
      </c>
      <c r="E16" s="7">
        <v>0</v>
      </c>
      <c r="F16" s="7">
        <v>0</v>
      </c>
      <c r="G16" s="7">
        <v>0</v>
      </c>
      <c r="H16" s="10" t="s">
        <v>26</v>
      </c>
    </row>
    <row r="17" spans="1:8" ht="22.5" customHeight="1" x14ac:dyDescent="0.25">
      <c r="A17" s="14" t="s">
        <v>27</v>
      </c>
      <c r="B17" s="7">
        <v>22</v>
      </c>
      <c r="C17" s="7">
        <v>14</v>
      </c>
      <c r="D17" s="7">
        <v>0</v>
      </c>
      <c r="E17" s="7">
        <v>1</v>
      </c>
      <c r="F17" s="7">
        <v>1</v>
      </c>
      <c r="G17" s="7">
        <v>0</v>
      </c>
      <c r="H17" s="10" t="s">
        <v>26</v>
      </c>
    </row>
    <row r="18" spans="1:8" ht="22.5" customHeight="1" x14ac:dyDescent="0.25">
      <c r="A18" s="14" t="s">
        <v>28</v>
      </c>
      <c r="B18" s="7">
        <v>12</v>
      </c>
      <c r="C18" s="7">
        <v>24</v>
      </c>
      <c r="D18" s="7">
        <v>1</v>
      </c>
      <c r="E18" s="7">
        <v>1</v>
      </c>
      <c r="F18" s="7">
        <v>1</v>
      </c>
      <c r="G18" s="7">
        <v>0</v>
      </c>
      <c r="H18" s="10" t="s">
        <v>29</v>
      </c>
    </row>
    <row r="19" spans="1:8" ht="22.5" customHeight="1" x14ac:dyDescent="0.25">
      <c r="A19" s="14"/>
      <c r="B19" s="7"/>
      <c r="C19" s="7"/>
      <c r="D19" s="7"/>
      <c r="E19" s="7"/>
      <c r="F19" s="7"/>
      <c r="G19" s="7"/>
      <c r="H19" s="10"/>
    </row>
    <row r="20" spans="1:8" ht="22.5" customHeight="1" x14ac:dyDescent="0.25">
      <c r="A20" s="14"/>
      <c r="B20" s="7"/>
      <c r="C20" s="7"/>
      <c r="D20" s="7"/>
      <c r="E20" s="7"/>
      <c r="F20" s="7"/>
      <c r="G20" s="7"/>
      <c r="H20" s="10"/>
    </row>
    <row r="21" spans="1:8" ht="22.5" customHeight="1" thickBot="1" x14ac:dyDescent="0.3">
      <c r="A21" s="15" t="s">
        <v>16</v>
      </c>
      <c r="B21" s="8">
        <f t="shared" ref="B21:G21" si="0">SUM(B5:B20)</f>
        <v>141</v>
      </c>
      <c r="C21" s="8">
        <f t="shared" si="0"/>
        <v>113</v>
      </c>
      <c r="D21" s="8">
        <f t="shared" si="0"/>
        <v>4</v>
      </c>
      <c r="E21" s="8">
        <f t="shared" si="0"/>
        <v>4</v>
      </c>
      <c r="F21" s="8">
        <f t="shared" si="0"/>
        <v>10</v>
      </c>
      <c r="G21" s="8">
        <f t="shared" si="0"/>
        <v>1</v>
      </c>
      <c r="H21" s="11">
        <f>SUM(B21:G21)</f>
        <v>273</v>
      </c>
    </row>
  </sheetData>
  <mergeCells count="8">
    <mergeCell ref="G3:G4"/>
    <mergeCell ref="H3:H4"/>
    <mergeCell ref="A3:A4"/>
    <mergeCell ref="B3:B4"/>
    <mergeCell ref="C3:C4"/>
    <mergeCell ref="D3:D4"/>
    <mergeCell ref="E3:E4"/>
    <mergeCell ref="F3:F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8CD4F8-A564-4C31-9F15-6AA5313DC0F7}">
  <sheetPr codeName="Sheet3"/>
  <dimension ref="A1:I21"/>
  <sheetViews>
    <sheetView workbookViewId="0">
      <selection activeCell="H13" sqref="H13"/>
    </sheetView>
  </sheetViews>
  <sheetFormatPr defaultRowHeight="15" x14ac:dyDescent="0.25"/>
  <cols>
    <col min="1" max="1" width="30.85546875" style="12" customWidth="1"/>
    <col min="2" max="2" width="14.7109375" style="1" customWidth="1"/>
    <col min="3" max="8" width="10.7109375" style="1" customWidth="1"/>
    <col min="9" max="9" width="79.42578125" customWidth="1"/>
  </cols>
  <sheetData>
    <row r="1" spans="1:9" x14ac:dyDescent="0.25">
      <c r="A1" s="12" t="s">
        <v>0</v>
      </c>
      <c r="B1" s="6">
        <v>43915</v>
      </c>
    </row>
    <row r="3" spans="1:9" ht="15" customHeight="1" x14ac:dyDescent="0.25">
      <c r="A3" s="49" t="s">
        <v>1</v>
      </c>
      <c r="B3" s="45" t="s">
        <v>2</v>
      </c>
      <c r="C3" s="45" t="s">
        <v>3</v>
      </c>
      <c r="D3" s="45" t="s">
        <v>4</v>
      </c>
      <c r="E3" s="45" t="s">
        <v>5</v>
      </c>
      <c r="F3" s="45" t="s">
        <v>6</v>
      </c>
      <c r="G3" s="45" t="s">
        <v>7</v>
      </c>
      <c r="H3" s="43"/>
      <c r="I3" s="45" t="s">
        <v>8</v>
      </c>
    </row>
    <row r="4" spans="1:9" ht="15" customHeight="1" x14ac:dyDescent="0.25">
      <c r="A4" s="50"/>
      <c r="B4" s="46"/>
      <c r="C4" s="46"/>
      <c r="D4" s="46"/>
      <c r="E4" s="46"/>
      <c r="F4" s="46"/>
      <c r="G4" s="46"/>
      <c r="H4" s="44"/>
      <c r="I4" s="46"/>
    </row>
    <row r="5" spans="1:9" ht="22.5" customHeight="1" x14ac:dyDescent="0.25">
      <c r="A5" s="13" t="s">
        <v>17</v>
      </c>
      <c r="B5" s="5">
        <v>11</v>
      </c>
      <c r="C5" s="5">
        <v>18</v>
      </c>
      <c r="D5" s="5">
        <v>1</v>
      </c>
      <c r="E5" s="5">
        <v>0</v>
      </c>
      <c r="F5" s="5">
        <v>0</v>
      </c>
      <c r="G5" s="5">
        <v>0</v>
      </c>
      <c r="H5" s="17">
        <f>SUM(B5:G5)</f>
        <v>30</v>
      </c>
      <c r="I5" s="9" t="s">
        <v>30</v>
      </c>
    </row>
    <row r="6" spans="1:9" ht="22.5" customHeight="1" x14ac:dyDescent="0.25">
      <c r="A6" s="13" t="s">
        <v>19</v>
      </c>
      <c r="B6" s="5">
        <v>25</v>
      </c>
      <c r="C6" s="5">
        <v>16</v>
      </c>
      <c r="D6" s="5">
        <v>1</v>
      </c>
      <c r="E6" s="5">
        <v>0</v>
      </c>
      <c r="F6" s="5">
        <v>4</v>
      </c>
      <c r="G6" s="5">
        <v>0</v>
      </c>
      <c r="H6" s="17">
        <f t="shared" ref="H6:H18" si="0">SUM(B6:G6)</f>
        <v>46</v>
      </c>
      <c r="I6" s="9"/>
    </row>
    <row r="7" spans="1:9" ht="22.5" customHeight="1" thickBot="1" x14ac:dyDescent="0.3">
      <c r="A7" s="13" t="s">
        <v>11</v>
      </c>
      <c r="B7" s="5">
        <v>8</v>
      </c>
      <c r="C7" s="5">
        <v>0</v>
      </c>
      <c r="D7" s="5">
        <v>0</v>
      </c>
      <c r="E7" s="5">
        <v>1</v>
      </c>
      <c r="F7" s="5">
        <v>0</v>
      </c>
      <c r="G7" s="5">
        <v>0</v>
      </c>
      <c r="H7" s="20">
        <f t="shared" si="0"/>
        <v>9</v>
      </c>
      <c r="I7" s="16" t="s">
        <v>31</v>
      </c>
    </row>
    <row r="8" spans="1:9" ht="22.5" customHeight="1" x14ac:dyDescent="0.25">
      <c r="A8" s="13" t="s">
        <v>20</v>
      </c>
      <c r="B8" s="5">
        <v>4</v>
      </c>
      <c r="C8" s="5">
        <v>4</v>
      </c>
      <c r="D8" s="5">
        <v>0</v>
      </c>
      <c r="E8" s="5">
        <v>0</v>
      </c>
      <c r="F8" s="5">
        <v>0</v>
      </c>
      <c r="G8" s="5">
        <v>0</v>
      </c>
      <c r="H8" s="17">
        <f t="shared" si="0"/>
        <v>8</v>
      </c>
      <c r="I8" s="9"/>
    </row>
    <row r="9" spans="1:9" ht="22.5" customHeight="1" x14ac:dyDescent="0.25">
      <c r="A9" s="13" t="s">
        <v>21</v>
      </c>
      <c r="B9" s="5">
        <v>3</v>
      </c>
      <c r="C9" s="5">
        <v>5</v>
      </c>
      <c r="D9" s="5">
        <v>0</v>
      </c>
      <c r="E9" s="5">
        <v>0</v>
      </c>
      <c r="F9" s="5">
        <v>0</v>
      </c>
      <c r="G9" s="5">
        <v>0</v>
      </c>
      <c r="H9" s="17">
        <f t="shared" si="0"/>
        <v>8</v>
      </c>
      <c r="I9" s="9"/>
    </row>
    <row r="10" spans="1:9" ht="22.5" customHeight="1" x14ac:dyDescent="0.25">
      <c r="A10" s="13" t="s">
        <v>22</v>
      </c>
      <c r="B10" s="5">
        <v>9</v>
      </c>
      <c r="C10" s="5">
        <v>19</v>
      </c>
      <c r="D10" s="5">
        <v>1</v>
      </c>
      <c r="E10" s="5">
        <v>0</v>
      </c>
      <c r="F10" s="5">
        <v>1</v>
      </c>
      <c r="G10" s="5">
        <v>0</v>
      </c>
      <c r="H10" s="17">
        <f t="shared" si="0"/>
        <v>30</v>
      </c>
      <c r="I10" s="9"/>
    </row>
    <row r="11" spans="1:9" ht="22.5" customHeight="1" x14ac:dyDescent="0.25">
      <c r="A11" s="13" t="s">
        <v>9</v>
      </c>
      <c r="B11" s="5">
        <v>1</v>
      </c>
      <c r="C11" s="5">
        <v>3</v>
      </c>
      <c r="D11" s="5">
        <v>0</v>
      </c>
      <c r="E11" s="5">
        <v>0</v>
      </c>
      <c r="F11" s="5">
        <v>1</v>
      </c>
      <c r="G11" s="5">
        <v>0</v>
      </c>
      <c r="H11" s="17">
        <f t="shared" si="0"/>
        <v>5</v>
      </c>
      <c r="I11" s="9" t="s">
        <v>10</v>
      </c>
    </row>
    <row r="12" spans="1:9" ht="22.5" customHeight="1" x14ac:dyDescent="0.25">
      <c r="A12" s="13" t="s">
        <v>12</v>
      </c>
      <c r="B12" s="5">
        <v>7</v>
      </c>
      <c r="C12" s="5">
        <v>3</v>
      </c>
      <c r="D12" s="5">
        <v>0</v>
      </c>
      <c r="E12" s="5">
        <v>1</v>
      </c>
      <c r="F12" s="5">
        <v>1</v>
      </c>
      <c r="G12" s="5">
        <v>0</v>
      </c>
      <c r="H12" s="17">
        <f t="shared" si="0"/>
        <v>12</v>
      </c>
      <c r="I12" s="9"/>
    </row>
    <row r="13" spans="1:9" ht="22.5" customHeight="1" x14ac:dyDescent="0.25">
      <c r="A13" s="14" t="s">
        <v>14</v>
      </c>
      <c r="B13" s="7">
        <v>3</v>
      </c>
      <c r="C13" s="7">
        <v>1</v>
      </c>
      <c r="D13" s="7">
        <v>0</v>
      </c>
      <c r="E13" s="7">
        <v>0</v>
      </c>
      <c r="F13" s="7">
        <v>0</v>
      </c>
      <c r="G13" s="7">
        <v>0</v>
      </c>
      <c r="H13" s="17">
        <f t="shared" si="0"/>
        <v>4</v>
      </c>
      <c r="I13" s="10" t="s">
        <v>23</v>
      </c>
    </row>
    <row r="14" spans="1:9" ht="22.5" customHeight="1" x14ac:dyDescent="0.25">
      <c r="A14" s="14" t="s">
        <v>15</v>
      </c>
      <c r="B14" s="7">
        <v>8</v>
      </c>
      <c r="C14" s="7">
        <v>4</v>
      </c>
      <c r="D14" s="7">
        <v>0</v>
      </c>
      <c r="E14" s="7">
        <v>0</v>
      </c>
      <c r="F14" s="7">
        <v>2</v>
      </c>
      <c r="G14" s="7">
        <v>1</v>
      </c>
      <c r="H14" s="17">
        <f t="shared" si="0"/>
        <v>15</v>
      </c>
      <c r="I14" s="10" t="s">
        <v>23</v>
      </c>
    </row>
    <row r="15" spans="1:9" ht="22.5" customHeight="1" x14ac:dyDescent="0.25">
      <c r="A15" s="14" t="s">
        <v>24</v>
      </c>
      <c r="B15" s="7">
        <v>6</v>
      </c>
      <c r="C15" s="7">
        <v>2</v>
      </c>
      <c r="D15" s="7">
        <v>0</v>
      </c>
      <c r="E15" s="7">
        <v>0</v>
      </c>
      <c r="F15" s="7">
        <v>0</v>
      </c>
      <c r="G15" s="7">
        <v>0</v>
      </c>
      <c r="H15" s="17">
        <f t="shared" si="0"/>
        <v>8</v>
      </c>
      <c r="I15" s="10"/>
    </row>
    <row r="16" spans="1:9" ht="22.5" customHeight="1" x14ac:dyDescent="0.25">
      <c r="A16" s="14" t="s">
        <v>25</v>
      </c>
      <c r="B16" s="7">
        <v>15</v>
      </c>
      <c r="C16" s="7">
        <v>10</v>
      </c>
      <c r="D16" s="7">
        <v>0</v>
      </c>
      <c r="E16" s="7">
        <v>0</v>
      </c>
      <c r="F16" s="7">
        <v>0</v>
      </c>
      <c r="G16" s="7">
        <v>0</v>
      </c>
      <c r="H16" s="17">
        <f t="shared" si="0"/>
        <v>25</v>
      </c>
      <c r="I16" s="10" t="s">
        <v>32</v>
      </c>
    </row>
    <row r="17" spans="1:9" ht="22.5" customHeight="1" x14ac:dyDescent="0.25">
      <c r="A17" s="14" t="s">
        <v>27</v>
      </c>
      <c r="B17" s="7">
        <v>22</v>
      </c>
      <c r="C17" s="7">
        <v>14</v>
      </c>
      <c r="D17" s="7">
        <v>0</v>
      </c>
      <c r="E17" s="7">
        <v>1</v>
      </c>
      <c r="F17" s="7">
        <v>1</v>
      </c>
      <c r="G17" s="7">
        <v>0</v>
      </c>
      <c r="H17" s="17">
        <f t="shared" si="0"/>
        <v>38</v>
      </c>
      <c r="I17" s="10" t="s">
        <v>32</v>
      </c>
    </row>
    <row r="18" spans="1:9" ht="22.5" customHeight="1" x14ac:dyDescent="0.25">
      <c r="A18" s="14" t="s">
        <v>28</v>
      </c>
      <c r="B18" s="7">
        <v>12</v>
      </c>
      <c r="C18" s="7">
        <v>24</v>
      </c>
      <c r="D18" s="7">
        <v>1</v>
      </c>
      <c r="E18" s="7">
        <v>1</v>
      </c>
      <c r="F18" s="7">
        <v>1</v>
      </c>
      <c r="G18" s="7">
        <v>0</v>
      </c>
      <c r="H18" s="17">
        <f t="shared" si="0"/>
        <v>39</v>
      </c>
      <c r="I18" s="10" t="s">
        <v>33</v>
      </c>
    </row>
    <row r="19" spans="1:9" ht="22.5" customHeight="1" x14ac:dyDescent="0.25">
      <c r="A19" s="14"/>
      <c r="B19" s="7"/>
      <c r="C19" s="7"/>
      <c r="D19" s="7"/>
      <c r="E19" s="7"/>
      <c r="F19" s="7"/>
      <c r="G19" s="7"/>
      <c r="H19" s="18"/>
      <c r="I19" s="10"/>
    </row>
    <row r="20" spans="1:9" ht="22.5" customHeight="1" x14ac:dyDescent="0.25">
      <c r="A20" s="14"/>
      <c r="B20" s="7"/>
      <c r="C20" s="7"/>
      <c r="D20" s="7"/>
      <c r="E20" s="7"/>
      <c r="F20" s="7"/>
      <c r="G20" s="7"/>
      <c r="H20" s="18"/>
      <c r="I20" s="10"/>
    </row>
    <row r="21" spans="1:9" ht="22.5" customHeight="1" x14ac:dyDescent="0.25">
      <c r="A21" s="15" t="s">
        <v>16</v>
      </c>
      <c r="B21" s="8">
        <f>SUM(B5:B20)</f>
        <v>134</v>
      </c>
      <c r="C21" s="8">
        <f t="shared" ref="C21:G21" si="1">SUM(C5:C20)</f>
        <v>123</v>
      </c>
      <c r="D21" s="8">
        <f t="shared" si="1"/>
        <v>4</v>
      </c>
      <c r="E21" s="8">
        <f t="shared" si="1"/>
        <v>4</v>
      </c>
      <c r="F21" s="8">
        <f t="shared" si="1"/>
        <v>11</v>
      </c>
      <c r="G21" s="8">
        <f t="shared" si="1"/>
        <v>1</v>
      </c>
      <c r="H21" s="19">
        <f>SUM(H5:H18)</f>
        <v>277</v>
      </c>
      <c r="I21" s="11">
        <f>SUM(B21:G21)</f>
        <v>277</v>
      </c>
    </row>
  </sheetData>
  <mergeCells count="8">
    <mergeCell ref="G3:G4"/>
    <mergeCell ref="I3:I4"/>
    <mergeCell ref="A3:A4"/>
    <mergeCell ref="B3:B4"/>
    <mergeCell ref="C3:C4"/>
    <mergeCell ref="D3:D4"/>
    <mergeCell ref="E3:E4"/>
    <mergeCell ref="F3:F4"/>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FAEE8-A525-4071-8F09-876A6FDBF7D3}">
  <sheetPr codeName="Sheet4"/>
  <dimension ref="A1:I21"/>
  <sheetViews>
    <sheetView workbookViewId="0">
      <selection activeCell="H16" sqref="H16:H17"/>
    </sheetView>
  </sheetViews>
  <sheetFormatPr defaultRowHeight="15" x14ac:dyDescent="0.25"/>
  <cols>
    <col min="1" max="1" width="30.85546875" style="12" customWidth="1"/>
    <col min="2" max="2" width="14.7109375" style="1" customWidth="1"/>
    <col min="3" max="8" width="10.7109375" style="1" customWidth="1"/>
    <col min="9" max="9" width="79.42578125" customWidth="1"/>
  </cols>
  <sheetData>
    <row r="1" spans="1:9" x14ac:dyDescent="0.25">
      <c r="A1" s="12" t="s">
        <v>0</v>
      </c>
      <c r="B1" s="6">
        <v>43916</v>
      </c>
    </row>
    <row r="2" spans="1:9" ht="15.75" thickBot="1" x14ac:dyDescent="0.3"/>
    <row r="3" spans="1:9" ht="15" customHeight="1" x14ac:dyDescent="0.25">
      <c r="A3" s="49" t="s">
        <v>1</v>
      </c>
      <c r="B3" s="45" t="s">
        <v>2</v>
      </c>
      <c r="C3" s="45" t="s">
        <v>3</v>
      </c>
      <c r="D3" s="45" t="s">
        <v>4</v>
      </c>
      <c r="E3" s="45" t="s">
        <v>5</v>
      </c>
      <c r="F3" s="45" t="s">
        <v>6</v>
      </c>
      <c r="G3" s="45" t="s">
        <v>7</v>
      </c>
      <c r="H3" s="45" t="s">
        <v>16</v>
      </c>
      <c r="I3" s="45" t="s">
        <v>8</v>
      </c>
    </row>
    <row r="4" spans="1:9" ht="15" customHeight="1" thickBot="1" x14ac:dyDescent="0.3">
      <c r="A4" s="50"/>
      <c r="B4" s="46"/>
      <c r="C4" s="46"/>
      <c r="D4" s="46"/>
      <c r="E4" s="46"/>
      <c r="F4" s="46"/>
      <c r="G4" s="46"/>
      <c r="H4" s="46"/>
      <c r="I4" s="46"/>
    </row>
    <row r="5" spans="1:9" ht="22.5" customHeight="1" x14ac:dyDescent="0.25">
      <c r="A5" s="13" t="s">
        <v>17</v>
      </c>
      <c r="B5" s="5">
        <v>8</v>
      </c>
      <c r="C5" s="5">
        <v>21</v>
      </c>
      <c r="D5" s="5">
        <v>1</v>
      </c>
      <c r="E5" s="5">
        <v>0</v>
      </c>
      <c r="F5" s="5">
        <v>0</v>
      </c>
      <c r="G5" s="5">
        <v>0</v>
      </c>
      <c r="H5" s="17">
        <f>SUM(B5:G5)</f>
        <v>30</v>
      </c>
      <c r="I5" s="9" t="s">
        <v>30</v>
      </c>
    </row>
    <row r="6" spans="1:9" ht="22.5" customHeight="1" x14ac:dyDescent="0.25">
      <c r="A6" s="13" t="s">
        <v>19</v>
      </c>
      <c r="B6" s="5">
        <v>22</v>
      </c>
      <c r="C6" s="5">
        <v>19</v>
      </c>
      <c r="D6" s="5">
        <v>3</v>
      </c>
      <c r="E6" s="5">
        <v>0</v>
      </c>
      <c r="F6" s="5">
        <v>4</v>
      </c>
      <c r="G6" s="5">
        <v>0</v>
      </c>
      <c r="H6" s="17">
        <f t="shared" ref="H6:H18" si="0">SUM(B6:G6)</f>
        <v>48</v>
      </c>
      <c r="I6" s="9"/>
    </row>
    <row r="7" spans="1:9" ht="22.5" customHeight="1" thickBot="1" x14ac:dyDescent="0.3">
      <c r="A7" s="13" t="s">
        <v>11</v>
      </c>
      <c r="B7" s="5">
        <v>8</v>
      </c>
      <c r="C7" s="5">
        <v>0</v>
      </c>
      <c r="D7" s="5">
        <v>0</v>
      </c>
      <c r="E7" s="5">
        <v>1</v>
      </c>
      <c r="F7" s="5">
        <v>0</v>
      </c>
      <c r="G7" s="5">
        <v>0</v>
      </c>
      <c r="H7" s="20">
        <f t="shared" si="0"/>
        <v>9</v>
      </c>
      <c r="I7" s="16" t="s">
        <v>31</v>
      </c>
    </row>
    <row r="8" spans="1:9" ht="22.5" customHeight="1" x14ac:dyDescent="0.25">
      <c r="A8" s="13" t="s">
        <v>20</v>
      </c>
      <c r="B8" s="5">
        <v>3</v>
      </c>
      <c r="C8" s="5">
        <v>5</v>
      </c>
      <c r="D8" s="5">
        <v>0</v>
      </c>
      <c r="E8" s="5">
        <v>0</v>
      </c>
      <c r="F8" s="5">
        <v>0</v>
      </c>
      <c r="G8" s="5">
        <v>0</v>
      </c>
      <c r="H8" s="17">
        <f t="shared" si="0"/>
        <v>8</v>
      </c>
      <c r="I8" s="9"/>
    </row>
    <row r="9" spans="1:9" ht="22.5" customHeight="1" x14ac:dyDescent="0.25">
      <c r="A9" s="13" t="s">
        <v>21</v>
      </c>
      <c r="B9" s="5">
        <v>4</v>
      </c>
      <c r="C9" s="5">
        <v>3</v>
      </c>
      <c r="D9" s="5">
        <v>0</v>
      </c>
      <c r="E9" s="5">
        <v>0</v>
      </c>
      <c r="F9" s="5">
        <v>1</v>
      </c>
      <c r="G9" s="5">
        <v>0</v>
      </c>
      <c r="H9" s="17">
        <f t="shared" si="0"/>
        <v>8</v>
      </c>
      <c r="I9" s="9"/>
    </row>
    <row r="10" spans="1:9" ht="22.5" customHeight="1" x14ac:dyDescent="0.25">
      <c r="A10" s="13" t="s">
        <v>22</v>
      </c>
      <c r="B10" s="5">
        <v>10</v>
      </c>
      <c r="C10" s="5">
        <v>18</v>
      </c>
      <c r="D10" s="5">
        <v>1</v>
      </c>
      <c r="E10" s="5">
        <v>0</v>
      </c>
      <c r="F10" s="5">
        <v>0</v>
      </c>
      <c r="G10" s="5">
        <v>1</v>
      </c>
      <c r="H10" s="17">
        <f t="shared" si="0"/>
        <v>30</v>
      </c>
      <c r="I10" s="9"/>
    </row>
    <row r="11" spans="1:9" ht="22.5" customHeight="1" x14ac:dyDescent="0.25">
      <c r="A11" s="13" t="s">
        <v>9</v>
      </c>
      <c r="B11" s="5">
        <v>1</v>
      </c>
      <c r="C11" s="5">
        <v>3</v>
      </c>
      <c r="D11" s="5">
        <v>0</v>
      </c>
      <c r="E11" s="5">
        <v>0</v>
      </c>
      <c r="F11" s="5">
        <v>1</v>
      </c>
      <c r="G11" s="5">
        <v>0</v>
      </c>
      <c r="H11" s="17">
        <f t="shared" si="0"/>
        <v>5</v>
      </c>
      <c r="I11" s="9" t="s">
        <v>10</v>
      </c>
    </row>
    <row r="12" spans="1:9" ht="22.5" customHeight="1" x14ac:dyDescent="0.25">
      <c r="A12" s="13" t="s">
        <v>12</v>
      </c>
      <c r="B12" s="5">
        <v>5</v>
      </c>
      <c r="C12" s="5">
        <v>6</v>
      </c>
      <c r="D12" s="5">
        <v>0</v>
      </c>
      <c r="E12" s="5">
        <v>0</v>
      </c>
      <c r="F12" s="5">
        <v>1</v>
      </c>
      <c r="G12" s="5">
        <v>0</v>
      </c>
      <c r="H12" s="17">
        <f t="shared" si="0"/>
        <v>12</v>
      </c>
      <c r="I12" s="9"/>
    </row>
    <row r="13" spans="1:9" ht="22.5" customHeight="1" x14ac:dyDescent="0.25">
      <c r="A13" s="14" t="s">
        <v>14</v>
      </c>
      <c r="B13" s="7">
        <v>4</v>
      </c>
      <c r="C13" s="7">
        <v>1</v>
      </c>
      <c r="D13" s="7">
        <v>0</v>
      </c>
      <c r="E13" s="7">
        <v>0</v>
      </c>
      <c r="F13" s="7">
        <v>0</v>
      </c>
      <c r="G13" s="7">
        <v>0</v>
      </c>
      <c r="H13" s="17">
        <f t="shared" si="0"/>
        <v>5</v>
      </c>
      <c r="I13" s="10"/>
    </row>
    <row r="14" spans="1:9" ht="22.5" customHeight="1" x14ac:dyDescent="0.25">
      <c r="A14" s="14" t="s">
        <v>15</v>
      </c>
      <c r="B14" s="7">
        <v>6</v>
      </c>
      <c r="C14" s="7">
        <v>4</v>
      </c>
      <c r="D14" s="7">
        <v>0</v>
      </c>
      <c r="E14" s="7">
        <v>0</v>
      </c>
      <c r="F14" s="7">
        <v>0</v>
      </c>
      <c r="G14" s="7">
        <v>0</v>
      </c>
      <c r="H14" s="17">
        <f t="shared" si="0"/>
        <v>10</v>
      </c>
      <c r="I14" s="10"/>
    </row>
    <row r="15" spans="1:9" ht="22.5" customHeight="1" x14ac:dyDescent="0.25">
      <c r="A15" s="14" t="s">
        <v>24</v>
      </c>
      <c r="B15" s="7">
        <v>7</v>
      </c>
      <c r="C15" s="7">
        <v>2</v>
      </c>
      <c r="D15" s="7">
        <v>0</v>
      </c>
      <c r="E15" s="7">
        <v>0</v>
      </c>
      <c r="F15" s="7">
        <v>0</v>
      </c>
      <c r="G15" s="7">
        <v>0</v>
      </c>
      <c r="H15" s="17">
        <f t="shared" si="0"/>
        <v>9</v>
      </c>
      <c r="I15" s="10"/>
    </row>
    <row r="16" spans="1:9" ht="22.5" customHeight="1" x14ac:dyDescent="0.25">
      <c r="A16" s="14" t="s">
        <v>25</v>
      </c>
      <c r="B16" s="7">
        <v>14</v>
      </c>
      <c r="C16" s="7">
        <v>10</v>
      </c>
      <c r="D16" s="7">
        <v>0</v>
      </c>
      <c r="E16" s="7">
        <v>0</v>
      </c>
      <c r="F16" s="7">
        <v>1</v>
      </c>
      <c r="G16" s="7">
        <v>0</v>
      </c>
      <c r="H16" s="17">
        <f t="shared" si="0"/>
        <v>25</v>
      </c>
      <c r="I16" s="10" t="s">
        <v>32</v>
      </c>
    </row>
    <row r="17" spans="1:9" ht="22.5" customHeight="1" x14ac:dyDescent="0.25">
      <c r="A17" s="14" t="s">
        <v>27</v>
      </c>
      <c r="B17" s="7">
        <v>25</v>
      </c>
      <c r="C17" s="7">
        <v>12</v>
      </c>
      <c r="D17" s="7">
        <v>0</v>
      </c>
      <c r="E17" s="7">
        <v>1</v>
      </c>
      <c r="F17" s="7">
        <v>1</v>
      </c>
      <c r="G17" s="7">
        <v>0</v>
      </c>
      <c r="H17" s="17">
        <f t="shared" si="0"/>
        <v>39</v>
      </c>
      <c r="I17" s="10" t="s">
        <v>32</v>
      </c>
    </row>
    <row r="18" spans="1:9" ht="22.5" customHeight="1" x14ac:dyDescent="0.25">
      <c r="A18" s="14" t="s">
        <v>28</v>
      </c>
      <c r="B18" s="7">
        <v>12</v>
      </c>
      <c r="C18" s="7">
        <v>24</v>
      </c>
      <c r="D18" s="7">
        <v>0</v>
      </c>
      <c r="E18" s="7">
        <v>0</v>
      </c>
      <c r="F18" s="7">
        <v>0</v>
      </c>
      <c r="G18" s="7">
        <v>0</v>
      </c>
      <c r="H18" s="17">
        <f t="shared" si="0"/>
        <v>36</v>
      </c>
      <c r="I18" s="10" t="s">
        <v>33</v>
      </c>
    </row>
    <row r="19" spans="1:9" ht="22.5" customHeight="1" x14ac:dyDescent="0.25">
      <c r="A19" s="14"/>
      <c r="B19" s="7"/>
      <c r="C19" s="7"/>
      <c r="D19" s="7"/>
      <c r="E19" s="7"/>
      <c r="F19" s="7"/>
      <c r="G19" s="7"/>
      <c r="H19" s="17"/>
      <c r="I19" s="10"/>
    </row>
    <row r="20" spans="1:9" ht="22.5" customHeight="1" x14ac:dyDescent="0.25">
      <c r="A20" s="14"/>
      <c r="B20" s="7"/>
      <c r="C20" s="7"/>
      <c r="D20" s="7"/>
      <c r="E20" s="7"/>
      <c r="F20" s="7"/>
      <c r="G20" s="7"/>
      <c r="H20" s="17"/>
      <c r="I20" s="10"/>
    </row>
    <row r="21" spans="1:9" ht="22.5" customHeight="1" thickBot="1" x14ac:dyDescent="0.3">
      <c r="A21" s="15" t="s">
        <v>16</v>
      </c>
      <c r="B21" s="8">
        <f>SUM(B5:B20)</f>
        <v>129</v>
      </c>
      <c r="C21" s="8">
        <f t="shared" ref="C21:G21" si="1">SUM(C5:C20)</f>
        <v>128</v>
      </c>
      <c r="D21" s="8">
        <f t="shared" si="1"/>
        <v>5</v>
      </c>
      <c r="E21" s="8">
        <f t="shared" si="1"/>
        <v>2</v>
      </c>
      <c r="F21" s="8">
        <f t="shared" si="1"/>
        <v>9</v>
      </c>
      <c r="G21" s="8">
        <f t="shared" si="1"/>
        <v>1</v>
      </c>
      <c r="H21" s="19">
        <f>SUM(H5:H18)</f>
        <v>274</v>
      </c>
      <c r="I21" s="11">
        <f>SUM(B21:G21)</f>
        <v>274</v>
      </c>
    </row>
  </sheetData>
  <mergeCells count="9">
    <mergeCell ref="G3:G4"/>
    <mergeCell ref="I3:I4"/>
    <mergeCell ref="A3:A4"/>
    <mergeCell ref="B3:B4"/>
    <mergeCell ref="C3:C4"/>
    <mergeCell ref="D3:D4"/>
    <mergeCell ref="E3:E4"/>
    <mergeCell ref="F3:F4"/>
    <mergeCell ref="H3:H4"/>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84EB3-2405-495B-9065-E2524DEBD39F}">
  <sheetPr codeName="Sheet5"/>
  <dimension ref="A1:I19"/>
  <sheetViews>
    <sheetView zoomScale="80" zoomScaleNormal="80" workbookViewId="0">
      <selection activeCell="H16" sqref="H16:H17"/>
    </sheetView>
  </sheetViews>
  <sheetFormatPr defaultRowHeight="15" x14ac:dyDescent="0.25"/>
  <cols>
    <col min="1" max="1" width="30.85546875" style="12" customWidth="1"/>
    <col min="2" max="2" width="14.7109375" style="1" customWidth="1"/>
    <col min="3" max="8" width="10.7109375" style="1" customWidth="1"/>
    <col min="9" max="9" width="79.42578125" customWidth="1"/>
  </cols>
  <sheetData>
    <row r="1" spans="1:9" x14ac:dyDescent="0.25">
      <c r="A1" s="12" t="s">
        <v>0</v>
      </c>
      <c r="B1" s="6">
        <v>43917</v>
      </c>
    </row>
    <row r="3" spans="1:9" ht="15" customHeight="1" x14ac:dyDescent="0.25">
      <c r="A3" s="49" t="s">
        <v>1</v>
      </c>
      <c r="B3" s="45" t="s">
        <v>2</v>
      </c>
      <c r="C3" s="45" t="s">
        <v>3</v>
      </c>
      <c r="D3" s="45" t="s">
        <v>4</v>
      </c>
      <c r="E3" s="45" t="s">
        <v>5</v>
      </c>
      <c r="F3" s="45" t="s">
        <v>6</v>
      </c>
      <c r="G3" s="45" t="s">
        <v>7</v>
      </c>
      <c r="H3" s="45" t="s">
        <v>16</v>
      </c>
      <c r="I3" s="45" t="s">
        <v>8</v>
      </c>
    </row>
    <row r="4" spans="1:9" ht="15" customHeight="1" thickBot="1" x14ac:dyDescent="0.3">
      <c r="A4" s="50"/>
      <c r="B4" s="46"/>
      <c r="C4" s="46"/>
      <c r="D4" s="46"/>
      <c r="E4" s="46"/>
      <c r="F4" s="46"/>
      <c r="G4" s="46"/>
      <c r="H4" s="46"/>
      <c r="I4" s="46"/>
    </row>
    <row r="5" spans="1:9" ht="22.5" customHeight="1" x14ac:dyDescent="0.25">
      <c r="A5" s="13" t="s">
        <v>17</v>
      </c>
      <c r="B5" s="5">
        <v>9</v>
      </c>
      <c r="C5" s="5">
        <v>20</v>
      </c>
      <c r="D5" s="5">
        <v>1</v>
      </c>
      <c r="E5" s="5">
        <v>0</v>
      </c>
      <c r="F5" s="5">
        <v>0</v>
      </c>
      <c r="G5" s="5">
        <v>0</v>
      </c>
      <c r="H5" s="24">
        <f>SUM(B5:G5)</f>
        <v>30</v>
      </c>
      <c r="I5" s="21" t="s">
        <v>30</v>
      </c>
    </row>
    <row r="6" spans="1:9" ht="22.5" customHeight="1" x14ac:dyDescent="0.25">
      <c r="A6" s="13" t="s">
        <v>19</v>
      </c>
      <c r="B6" s="5">
        <v>21</v>
      </c>
      <c r="C6" s="5">
        <v>20</v>
      </c>
      <c r="D6" s="5">
        <v>0</v>
      </c>
      <c r="E6" s="5">
        <v>0</v>
      </c>
      <c r="F6" s="5">
        <v>6</v>
      </c>
      <c r="G6" s="5">
        <v>0</v>
      </c>
      <c r="H6" s="25">
        <f t="shared" ref="H6:H18" si="0">SUM(B6:G6)</f>
        <v>47</v>
      </c>
      <c r="I6" s="21"/>
    </row>
    <row r="7" spans="1:9" ht="22.5" customHeight="1" thickBot="1" x14ac:dyDescent="0.3">
      <c r="A7" s="13" t="s">
        <v>11</v>
      </c>
      <c r="B7" s="5">
        <v>8</v>
      </c>
      <c r="C7" s="5">
        <v>0</v>
      </c>
      <c r="D7" s="5">
        <v>0</v>
      </c>
      <c r="E7" s="5">
        <v>1</v>
      </c>
      <c r="F7" s="5">
        <v>0</v>
      </c>
      <c r="G7" s="5">
        <v>0</v>
      </c>
      <c r="H7" s="26">
        <f t="shared" si="0"/>
        <v>9</v>
      </c>
      <c r="I7" s="16" t="s">
        <v>31</v>
      </c>
    </row>
    <row r="8" spans="1:9" ht="22.5" customHeight="1" x14ac:dyDescent="0.25">
      <c r="A8" s="13" t="s">
        <v>20</v>
      </c>
      <c r="B8" s="5">
        <v>3</v>
      </c>
      <c r="C8" s="5">
        <v>4</v>
      </c>
      <c r="D8" s="5">
        <v>0</v>
      </c>
      <c r="E8" s="5">
        <v>0</v>
      </c>
      <c r="F8" s="5">
        <v>0</v>
      </c>
      <c r="G8" s="5">
        <v>1</v>
      </c>
      <c r="H8" s="25">
        <f t="shared" si="0"/>
        <v>8</v>
      </c>
      <c r="I8" s="21"/>
    </row>
    <row r="9" spans="1:9" ht="22.5" customHeight="1" x14ac:dyDescent="0.25">
      <c r="A9" s="13" t="s">
        <v>21</v>
      </c>
      <c r="B9" s="5">
        <v>4</v>
      </c>
      <c r="C9" s="5">
        <v>4</v>
      </c>
      <c r="D9" s="5">
        <v>0</v>
      </c>
      <c r="E9" s="5">
        <v>0</v>
      </c>
      <c r="F9" s="5">
        <v>0</v>
      </c>
      <c r="G9" s="5">
        <v>0</v>
      </c>
      <c r="H9" s="25">
        <f t="shared" si="0"/>
        <v>8</v>
      </c>
      <c r="I9" s="21"/>
    </row>
    <row r="10" spans="1:9" ht="22.5" customHeight="1" x14ac:dyDescent="0.25">
      <c r="A10" s="13" t="s">
        <v>22</v>
      </c>
      <c r="B10" s="5">
        <v>9</v>
      </c>
      <c r="C10" s="5">
        <v>18</v>
      </c>
      <c r="D10" s="5">
        <v>1</v>
      </c>
      <c r="E10" s="5">
        <v>0</v>
      </c>
      <c r="F10" s="5">
        <v>0</v>
      </c>
      <c r="G10" s="5">
        <v>2</v>
      </c>
      <c r="H10" s="25">
        <f t="shared" si="0"/>
        <v>30</v>
      </c>
      <c r="I10" s="21"/>
    </row>
    <row r="11" spans="1:9" ht="22.5" customHeight="1" x14ac:dyDescent="0.25">
      <c r="A11" s="13" t="s">
        <v>9</v>
      </c>
      <c r="B11" s="5">
        <v>1</v>
      </c>
      <c r="C11" s="5">
        <v>3</v>
      </c>
      <c r="D11" s="5">
        <v>0</v>
      </c>
      <c r="E11" s="5">
        <v>0</v>
      </c>
      <c r="F11" s="5">
        <v>1</v>
      </c>
      <c r="G11" s="5">
        <v>0</v>
      </c>
      <c r="H11" s="25">
        <f t="shared" si="0"/>
        <v>5</v>
      </c>
      <c r="I11" s="21" t="s">
        <v>10</v>
      </c>
    </row>
    <row r="12" spans="1:9" ht="22.5" customHeight="1" x14ac:dyDescent="0.25">
      <c r="A12" s="13" t="s">
        <v>12</v>
      </c>
      <c r="B12" s="5">
        <v>5</v>
      </c>
      <c r="C12" s="5">
        <v>4</v>
      </c>
      <c r="D12" s="5">
        <v>0</v>
      </c>
      <c r="E12" s="5">
        <v>0</v>
      </c>
      <c r="F12" s="5">
        <v>1</v>
      </c>
      <c r="G12" s="5">
        <v>2</v>
      </c>
      <c r="H12" s="25">
        <f t="shared" si="0"/>
        <v>12</v>
      </c>
      <c r="I12" s="21"/>
    </row>
    <row r="13" spans="1:9" ht="22.5" customHeight="1" x14ac:dyDescent="0.25">
      <c r="A13" s="14" t="s">
        <v>14</v>
      </c>
      <c r="B13" s="7">
        <v>2</v>
      </c>
      <c r="C13" s="7">
        <v>1</v>
      </c>
      <c r="D13" s="7">
        <v>0</v>
      </c>
      <c r="E13" s="7">
        <v>0</v>
      </c>
      <c r="F13" s="7">
        <v>0</v>
      </c>
      <c r="G13" s="7">
        <v>4</v>
      </c>
      <c r="H13" s="25">
        <f t="shared" si="0"/>
        <v>7</v>
      </c>
      <c r="I13" s="22"/>
    </row>
    <row r="14" spans="1:9" ht="22.5" customHeight="1" x14ac:dyDescent="0.25">
      <c r="A14" s="14" t="s">
        <v>15</v>
      </c>
      <c r="B14" s="7">
        <v>6</v>
      </c>
      <c r="C14" s="7">
        <v>3</v>
      </c>
      <c r="D14" s="7">
        <v>0</v>
      </c>
      <c r="E14" s="7">
        <v>0</v>
      </c>
      <c r="F14" s="7">
        <v>0</v>
      </c>
      <c r="G14" s="7">
        <v>10</v>
      </c>
      <c r="H14" s="25">
        <f t="shared" si="0"/>
        <v>19</v>
      </c>
      <c r="I14" s="22"/>
    </row>
    <row r="15" spans="1:9" ht="22.5" customHeight="1" x14ac:dyDescent="0.25">
      <c r="A15" s="14" t="s">
        <v>24</v>
      </c>
      <c r="B15" s="7">
        <v>6</v>
      </c>
      <c r="C15" s="7">
        <v>1</v>
      </c>
      <c r="D15" s="7">
        <v>0</v>
      </c>
      <c r="E15" s="7">
        <v>0</v>
      </c>
      <c r="F15" s="7">
        <v>1</v>
      </c>
      <c r="G15" s="7">
        <v>3</v>
      </c>
      <c r="H15" s="25">
        <f t="shared" si="0"/>
        <v>11</v>
      </c>
      <c r="I15" s="22"/>
    </row>
    <row r="16" spans="1:9" ht="22.5" customHeight="1" x14ac:dyDescent="0.25">
      <c r="A16" s="14" t="s">
        <v>25</v>
      </c>
      <c r="B16" s="7">
        <v>14</v>
      </c>
      <c r="C16" s="7">
        <v>10</v>
      </c>
      <c r="D16" s="7">
        <v>0</v>
      </c>
      <c r="E16" s="7">
        <v>0</v>
      </c>
      <c r="F16" s="7">
        <v>1</v>
      </c>
      <c r="G16" s="7">
        <v>0</v>
      </c>
      <c r="H16" s="25">
        <f t="shared" si="0"/>
        <v>25</v>
      </c>
      <c r="I16" s="22" t="s">
        <v>32</v>
      </c>
    </row>
    <row r="17" spans="1:9" ht="22.5" customHeight="1" x14ac:dyDescent="0.25">
      <c r="A17" s="14" t="s">
        <v>27</v>
      </c>
      <c r="B17" s="7">
        <v>23</v>
      </c>
      <c r="C17" s="7">
        <v>12</v>
      </c>
      <c r="D17" s="7">
        <v>0</v>
      </c>
      <c r="E17" s="7">
        <v>1</v>
      </c>
      <c r="F17" s="7">
        <v>1</v>
      </c>
      <c r="G17" s="7">
        <v>0</v>
      </c>
      <c r="H17" s="25">
        <f t="shared" si="0"/>
        <v>37</v>
      </c>
      <c r="I17" s="22" t="s">
        <v>32</v>
      </c>
    </row>
    <row r="18" spans="1:9" ht="22.5" customHeight="1" x14ac:dyDescent="0.25">
      <c r="A18" s="14" t="s">
        <v>28</v>
      </c>
      <c r="B18" s="7">
        <v>9</v>
      </c>
      <c r="C18" s="7">
        <v>34</v>
      </c>
      <c r="D18" s="7">
        <v>0</v>
      </c>
      <c r="E18" s="7">
        <v>0</v>
      </c>
      <c r="F18" s="7">
        <v>1</v>
      </c>
      <c r="G18" s="7">
        <v>2</v>
      </c>
      <c r="H18" s="25">
        <f t="shared" si="0"/>
        <v>46</v>
      </c>
      <c r="I18" s="22" t="s">
        <v>33</v>
      </c>
    </row>
    <row r="19" spans="1:9" ht="22.5" customHeight="1" thickBot="1" x14ac:dyDescent="0.3">
      <c r="A19" s="15" t="s">
        <v>16</v>
      </c>
      <c r="B19" s="8">
        <f t="shared" ref="B19:H19" si="1">SUM(B5:B18)</f>
        <v>120</v>
      </c>
      <c r="C19" s="8">
        <f t="shared" si="1"/>
        <v>134</v>
      </c>
      <c r="D19" s="8">
        <f t="shared" si="1"/>
        <v>2</v>
      </c>
      <c r="E19" s="8">
        <f t="shared" si="1"/>
        <v>2</v>
      </c>
      <c r="F19" s="8">
        <f t="shared" si="1"/>
        <v>12</v>
      </c>
      <c r="G19" s="8">
        <f t="shared" si="1"/>
        <v>24</v>
      </c>
      <c r="H19" s="27">
        <f t="shared" si="1"/>
        <v>294</v>
      </c>
      <c r="I19" s="23">
        <f>SUM(B19:G19)</f>
        <v>294</v>
      </c>
    </row>
  </sheetData>
  <mergeCells count="9">
    <mergeCell ref="G3:G4"/>
    <mergeCell ref="H3:H4"/>
    <mergeCell ref="I3:I4"/>
    <mergeCell ref="A3:A4"/>
    <mergeCell ref="B3:B4"/>
    <mergeCell ref="C3:C4"/>
    <mergeCell ref="D3:D4"/>
    <mergeCell ref="E3:E4"/>
    <mergeCell ref="F3:F4"/>
  </mergeCells>
  <pageMargins left="0.7" right="0.7" top="0.75" bottom="0.75" header="0.3" footer="0.3"/>
  <pageSetup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8DA5D-82A0-4C84-B910-C99AD64AD814}">
  <sheetPr codeName="Sheet6"/>
  <dimension ref="A1:I20"/>
  <sheetViews>
    <sheetView workbookViewId="0">
      <selection activeCell="H16" sqref="H16"/>
    </sheetView>
  </sheetViews>
  <sheetFormatPr defaultRowHeight="15" x14ac:dyDescent="0.25"/>
  <cols>
    <col min="1" max="1" width="30.85546875" style="12" customWidth="1"/>
    <col min="2" max="2" width="14.7109375" style="1" customWidth="1"/>
    <col min="3" max="8" width="10.7109375" style="1" customWidth="1"/>
    <col min="9" max="9" width="79.42578125" customWidth="1"/>
  </cols>
  <sheetData>
    <row r="1" spans="1:9" x14ac:dyDescent="0.25">
      <c r="A1" s="12" t="s">
        <v>0</v>
      </c>
      <c r="B1" s="6">
        <v>43920</v>
      </c>
    </row>
    <row r="3" spans="1:9" ht="15" customHeight="1" x14ac:dyDescent="0.25">
      <c r="A3" s="49" t="s">
        <v>1</v>
      </c>
      <c r="B3" s="45" t="s">
        <v>2</v>
      </c>
      <c r="C3" s="45" t="s">
        <v>3</v>
      </c>
      <c r="D3" s="45" t="s">
        <v>4</v>
      </c>
      <c r="E3" s="45" t="s">
        <v>5</v>
      </c>
      <c r="F3" s="45" t="s">
        <v>6</v>
      </c>
      <c r="G3" s="45" t="s">
        <v>7</v>
      </c>
      <c r="H3" s="45" t="s">
        <v>16</v>
      </c>
      <c r="I3" s="45" t="s">
        <v>8</v>
      </c>
    </row>
    <row r="4" spans="1:9" ht="15" customHeight="1" x14ac:dyDescent="0.25">
      <c r="A4" s="50"/>
      <c r="B4" s="46"/>
      <c r="C4" s="46"/>
      <c r="D4" s="46"/>
      <c r="E4" s="46"/>
      <c r="F4" s="46"/>
      <c r="G4" s="46"/>
      <c r="H4" s="46"/>
      <c r="I4" s="46"/>
    </row>
    <row r="5" spans="1:9" ht="22.5" customHeight="1" x14ac:dyDescent="0.25">
      <c r="A5" s="13" t="s">
        <v>17</v>
      </c>
      <c r="B5" s="5">
        <v>8</v>
      </c>
      <c r="C5" s="5">
        <v>20</v>
      </c>
      <c r="D5" s="5">
        <v>1</v>
      </c>
      <c r="E5" s="5">
        <v>0</v>
      </c>
      <c r="F5" s="5">
        <v>1</v>
      </c>
      <c r="G5" s="5">
        <v>0</v>
      </c>
      <c r="H5" s="25">
        <f t="shared" ref="H5:H16" si="0">SUM(B5:G5)</f>
        <v>30</v>
      </c>
      <c r="I5" s="21" t="s">
        <v>30</v>
      </c>
    </row>
    <row r="6" spans="1:9" ht="22.5" customHeight="1" x14ac:dyDescent="0.25">
      <c r="A6" s="13" t="s">
        <v>19</v>
      </c>
      <c r="B6" s="5">
        <v>16</v>
      </c>
      <c r="C6" s="5">
        <v>24</v>
      </c>
      <c r="D6" s="5">
        <v>0</v>
      </c>
      <c r="E6" s="5">
        <v>0</v>
      </c>
      <c r="F6" s="5">
        <v>5</v>
      </c>
      <c r="G6" s="5">
        <v>1</v>
      </c>
      <c r="H6" s="25">
        <f t="shared" si="0"/>
        <v>46</v>
      </c>
      <c r="I6" s="21"/>
    </row>
    <row r="7" spans="1:9" ht="22.5" customHeight="1" x14ac:dyDescent="0.25">
      <c r="A7" s="13" t="s">
        <v>11</v>
      </c>
      <c r="B7" s="5">
        <v>7</v>
      </c>
      <c r="C7" s="5">
        <v>1</v>
      </c>
      <c r="D7" s="5">
        <v>0</v>
      </c>
      <c r="E7" s="5">
        <v>1</v>
      </c>
      <c r="F7" s="5">
        <v>0</v>
      </c>
      <c r="G7" s="5">
        <v>0</v>
      </c>
      <c r="H7" s="25">
        <f t="shared" si="0"/>
        <v>9</v>
      </c>
      <c r="I7" s="16" t="s">
        <v>31</v>
      </c>
    </row>
    <row r="8" spans="1:9" ht="22.5" customHeight="1" x14ac:dyDescent="0.25">
      <c r="A8" s="13" t="s">
        <v>20</v>
      </c>
      <c r="B8" s="5">
        <v>5</v>
      </c>
      <c r="C8" s="5">
        <v>3</v>
      </c>
      <c r="D8" s="5">
        <v>0</v>
      </c>
      <c r="E8" s="5">
        <v>0</v>
      </c>
      <c r="F8" s="5">
        <v>0</v>
      </c>
      <c r="G8" s="5">
        <v>0</v>
      </c>
      <c r="H8" s="25">
        <f t="shared" si="0"/>
        <v>8</v>
      </c>
      <c r="I8" s="21"/>
    </row>
    <row r="9" spans="1:9" ht="22.5" customHeight="1" x14ac:dyDescent="0.25">
      <c r="A9" s="13" t="s">
        <v>21</v>
      </c>
      <c r="B9" s="5">
        <v>3</v>
      </c>
      <c r="C9" s="5">
        <v>4</v>
      </c>
      <c r="D9" s="5">
        <v>0</v>
      </c>
      <c r="E9" s="5">
        <v>0</v>
      </c>
      <c r="F9" s="5">
        <v>1</v>
      </c>
      <c r="G9" s="5">
        <v>0</v>
      </c>
      <c r="H9" s="25">
        <f t="shared" si="0"/>
        <v>8</v>
      </c>
      <c r="I9" s="21"/>
    </row>
    <row r="10" spans="1:9" ht="22.5" customHeight="1" x14ac:dyDescent="0.25">
      <c r="A10" s="13" t="s">
        <v>22</v>
      </c>
      <c r="B10" s="5">
        <v>11</v>
      </c>
      <c r="C10" s="5">
        <v>11</v>
      </c>
      <c r="D10" s="5">
        <v>1</v>
      </c>
      <c r="E10" s="5">
        <v>0</v>
      </c>
      <c r="F10" s="5">
        <v>0</v>
      </c>
      <c r="G10" s="5">
        <v>2</v>
      </c>
      <c r="H10" s="25">
        <f t="shared" si="0"/>
        <v>25</v>
      </c>
      <c r="I10" s="21"/>
    </row>
    <row r="11" spans="1:9" ht="22.5" customHeight="1" x14ac:dyDescent="0.25">
      <c r="A11" s="13" t="s">
        <v>9</v>
      </c>
      <c r="B11" s="5">
        <v>2</v>
      </c>
      <c r="C11" s="5">
        <v>3</v>
      </c>
      <c r="D11" s="5">
        <v>0</v>
      </c>
      <c r="E11" s="5">
        <v>0</v>
      </c>
      <c r="F11" s="5">
        <v>0</v>
      </c>
      <c r="G11" s="5">
        <v>0</v>
      </c>
      <c r="H11" s="25">
        <f t="shared" si="0"/>
        <v>5</v>
      </c>
      <c r="I11" s="21"/>
    </row>
    <row r="12" spans="1:9" ht="22.5" customHeight="1" x14ac:dyDescent="0.25">
      <c r="A12" s="13" t="s">
        <v>12</v>
      </c>
      <c r="B12" s="5">
        <v>6</v>
      </c>
      <c r="C12" s="5">
        <v>4</v>
      </c>
      <c r="D12" s="5">
        <v>1</v>
      </c>
      <c r="E12" s="5">
        <v>0</v>
      </c>
      <c r="F12" s="5">
        <v>0</v>
      </c>
      <c r="G12" s="5">
        <v>1</v>
      </c>
      <c r="H12" s="25">
        <f t="shared" si="0"/>
        <v>12</v>
      </c>
      <c r="I12" s="21"/>
    </row>
    <row r="13" spans="1:9" ht="22.5" customHeight="1" x14ac:dyDescent="0.25">
      <c r="A13" s="14" t="s">
        <v>14</v>
      </c>
      <c r="B13" s="7">
        <v>2</v>
      </c>
      <c r="C13" s="7">
        <v>1</v>
      </c>
      <c r="D13" s="7">
        <v>0</v>
      </c>
      <c r="E13" s="7">
        <v>0</v>
      </c>
      <c r="F13" s="7">
        <v>0</v>
      </c>
      <c r="G13" s="7">
        <v>5</v>
      </c>
      <c r="H13" s="25">
        <f t="shared" si="0"/>
        <v>8</v>
      </c>
      <c r="I13" s="22"/>
    </row>
    <row r="14" spans="1:9" ht="22.5" customHeight="1" x14ac:dyDescent="0.25">
      <c r="A14" s="14" t="s">
        <v>15</v>
      </c>
      <c r="B14" s="7">
        <v>7</v>
      </c>
      <c r="C14" s="7">
        <v>4</v>
      </c>
      <c r="D14" s="7">
        <v>0</v>
      </c>
      <c r="E14" s="7">
        <v>0</v>
      </c>
      <c r="F14" s="7">
        <v>1</v>
      </c>
      <c r="G14" s="7">
        <v>7</v>
      </c>
      <c r="H14" s="25">
        <f>SUM(B14:G14)</f>
        <v>19</v>
      </c>
      <c r="I14" s="22"/>
    </row>
    <row r="15" spans="1:9" ht="22.5" customHeight="1" x14ac:dyDescent="0.25">
      <c r="A15" s="14" t="s">
        <v>24</v>
      </c>
      <c r="B15" s="7">
        <v>9</v>
      </c>
      <c r="C15" s="7">
        <v>2</v>
      </c>
      <c r="D15" s="7">
        <v>0</v>
      </c>
      <c r="E15" s="7">
        <v>0</v>
      </c>
      <c r="F15" s="7">
        <v>0</v>
      </c>
      <c r="G15" s="7">
        <v>0</v>
      </c>
      <c r="H15" s="25">
        <f t="shared" si="0"/>
        <v>11</v>
      </c>
      <c r="I15" s="22"/>
    </row>
    <row r="16" spans="1:9" ht="22.5" customHeight="1" x14ac:dyDescent="0.25">
      <c r="A16" s="14" t="s">
        <v>25</v>
      </c>
      <c r="B16" s="7">
        <v>15</v>
      </c>
      <c r="C16" s="7">
        <v>10</v>
      </c>
      <c r="D16" s="7">
        <v>0</v>
      </c>
      <c r="E16" s="7">
        <v>0</v>
      </c>
      <c r="F16" s="7">
        <v>0</v>
      </c>
      <c r="G16" s="7">
        <v>0</v>
      </c>
      <c r="H16" s="25">
        <f t="shared" si="0"/>
        <v>25</v>
      </c>
      <c r="I16" s="22" t="s">
        <v>32</v>
      </c>
    </row>
    <row r="17" spans="1:9" ht="22.5" customHeight="1" x14ac:dyDescent="0.25">
      <c r="A17" s="14" t="s">
        <v>27</v>
      </c>
      <c r="B17" s="7">
        <v>18</v>
      </c>
      <c r="C17" s="7">
        <v>15</v>
      </c>
      <c r="D17" s="7">
        <v>0</v>
      </c>
      <c r="E17" s="7">
        <v>1</v>
      </c>
      <c r="F17" s="7">
        <v>0</v>
      </c>
      <c r="G17" s="7">
        <v>0</v>
      </c>
      <c r="H17" s="25">
        <f>SUM(B17:G17)</f>
        <v>34</v>
      </c>
      <c r="I17" s="22" t="s">
        <v>32</v>
      </c>
    </row>
    <row r="18" spans="1:9" ht="22.5" customHeight="1" x14ac:dyDescent="0.25">
      <c r="A18" s="14" t="s">
        <v>28</v>
      </c>
      <c r="B18" s="7">
        <v>5</v>
      </c>
      <c r="C18" s="7">
        <v>41</v>
      </c>
      <c r="D18" s="7">
        <v>0</v>
      </c>
      <c r="E18" s="7">
        <v>0</v>
      </c>
      <c r="F18" s="7">
        <v>1</v>
      </c>
      <c r="G18" s="7">
        <v>0</v>
      </c>
      <c r="H18" s="25">
        <f>SUM(B18:G18)</f>
        <v>47</v>
      </c>
      <c r="I18" s="22" t="s">
        <v>33</v>
      </c>
    </row>
    <row r="19" spans="1:9" ht="22.5" customHeight="1" x14ac:dyDescent="0.25">
      <c r="A19" s="28" t="s">
        <v>34</v>
      </c>
      <c r="B19" s="29">
        <v>0</v>
      </c>
      <c r="C19" s="29">
        <v>5</v>
      </c>
      <c r="D19" s="29">
        <v>0</v>
      </c>
      <c r="E19" s="29">
        <v>0</v>
      </c>
      <c r="F19" s="29">
        <v>0</v>
      </c>
      <c r="G19" s="29">
        <v>0</v>
      </c>
      <c r="H19" s="30">
        <f>SUM(B19:G19)</f>
        <v>5</v>
      </c>
      <c r="I19" s="31"/>
    </row>
    <row r="20" spans="1:9" ht="22.5" customHeight="1" x14ac:dyDescent="0.25">
      <c r="A20" s="15" t="s">
        <v>16</v>
      </c>
      <c r="B20" s="8">
        <f t="shared" ref="B20:H20" si="1">SUM(B5:B19)</f>
        <v>114</v>
      </c>
      <c r="C20" s="8">
        <f t="shared" si="1"/>
        <v>148</v>
      </c>
      <c r="D20" s="8">
        <f t="shared" si="1"/>
        <v>3</v>
      </c>
      <c r="E20" s="8">
        <f t="shared" si="1"/>
        <v>2</v>
      </c>
      <c r="F20" s="8">
        <f t="shared" si="1"/>
        <v>9</v>
      </c>
      <c r="G20" s="8">
        <f t="shared" si="1"/>
        <v>16</v>
      </c>
      <c r="H20" s="27">
        <f t="shared" si="1"/>
        <v>292</v>
      </c>
      <c r="I20" s="23">
        <f>SUM(B20:G20)</f>
        <v>292</v>
      </c>
    </row>
  </sheetData>
  <mergeCells count="9">
    <mergeCell ref="G3:G4"/>
    <mergeCell ref="H3:H4"/>
    <mergeCell ref="I3:I4"/>
    <mergeCell ref="A3:A4"/>
    <mergeCell ref="B3:B4"/>
    <mergeCell ref="C3:C4"/>
    <mergeCell ref="D3:D4"/>
    <mergeCell ref="E3:E4"/>
    <mergeCell ref="F3:F4"/>
  </mergeCell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DB128-CA28-46FB-A79D-EF74C121870C}">
  <sheetPr codeName="Sheet7"/>
  <dimension ref="A1:I20"/>
  <sheetViews>
    <sheetView workbookViewId="0">
      <selection activeCell="I6" sqref="I6"/>
    </sheetView>
  </sheetViews>
  <sheetFormatPr defaultRowHeight="15" x14ac:dyDescent="0.25"/>
  <cols>
    <col min="1" max="1" width="30.85546875" style="12" customWidth="1"/>
    <col min="2" max="2" width="14.7109375" style="1" customWidth="1"/>
    <col min="3" max="8" width="10.7109375" style="1" customWidth="1"/>
    <col min="9" max="9" width="79.42578125" customWidth="1"/>
  </cols>
  <sheetData>
    <row r="1" spans="1:9" x14ac:dyDescent="0.25">
      <c r="A1" s="12" t="s">
        <v>0</v>
      </c>
      <c r="B1" s="6">
        <v>43921</v>
      </c>
    </row>
    <row r="3" spans="1:9" ht="15" customHeight="1" x14ac:dyDescent="0.25">
      <c r="A3" s="49" t="s">
        <v>1</v>
      </c>
      <c r="B3" s="45" t="s">
        <v>2</v>
      </c>
      <c r="C3" s="45" t="s">
        <v>3</v>
      </c>
      <c r="D3" s="45" t="s">
        <v>4</v>
      </c>
      <c r="E3" s="45" t="s">
        <v>5</v>
      </c>
      <c r="F3" s="45" t="s">
        <v>6</v>
      </c>
      <c r="G3" s="45" t="s">
        <v>7</v>
      </c>
      <c r="H3" s="45" t="s">
        <v>16</v>
      </c>
      <c r="I3" s="45" t="s">
        <v>8</v>
      </c>
    </row>
    <row r="4" spans="1:9" ht="15" customHeight="1" x14ac:dyDescent="0.25">
      <c r="A4" s="50"/>
      <c r="B4" s="46"/>
      <c r="C4" s="46"/>
      <c r="D4" s="46"/>
      <c r="E4" s="46"/>
      <c r="F4" s="46"/>
      <c r="G4" s="46"/>
      <c r="H4" s="46"/>
      <c r="I4" s="46"/>
    </row>
    <row r="5" spans="1:9" ht="22.5" customHeight="1" x14ac:dyDescent="0.25">
      <c r="A5" s="13" t="s">
        <v>17</v>
      </c>
      <c r="B5" s="5">
        <v>9</v>
      </c>
      <c r="C5" s="5">
        <v>20</v>
      </c>
      <c r="D5" s="5">
        <v>0</v>
      </c>
      <c r="E5" s="5">
        <v>0</v>
      </c>
      <c r="F5" s="5">
        <v>1</v>
      </c>
      <c r="G5" s="5">
        <v>0</v>
      </c>
      <c r="H5" s="25">
        <f t="shared" ref="H5:H16" si="0">SUM(B5:G5)</f>
        <v>30</v>
      </c>
      <c r="I5" s="21"/>
    </row>
    <row r="6" spans="1:9" ht="22.5" customHeight="1" x14ac:dyDescent="0.25">
      <c r="A6" s="13" t="s">
        <v>19</v>
      </c>
      <c r="B6" s="5">
        <v>19</v>
      </c>
      <c r="C6" s="5">
        <v>18</v>
      </c>
      <c r="D6" s="5">
        <v>2</v>
      </c>
      <c r="E6" s="5">
        <v>1</v>
      </c>
      <c r="F6" s="5">
        <v>5</v>
      </c>
      <c r="G6" s="5">
        <v>0</v>
      </c>
      <c r="H6" s="25">
        <f t="shared" si="0"/>
        <v>45</v>
      </c>
      <c r="I6" s="21" t="s">
        <v>35</v>
      </c>
    </row>
    <row r="7" spans="1:9" ht="22.5" customHeight="1" x14ac:dyDescent="0.25">
      <c r="A7" s="13" t="s">
        <v>11</v>
      </c>
      <c r="B7" s="5">
        <v>8</v>
      </c>
      <c r="C7" s="5">
        <v>0</v>
      </c>
      <c r="D7" s="5">
        <v>0</v>
      </c>
      <c r="E7" s="5">
        <v>1</v>
      </c>
      <c r="F7" s="5">
        <v>0</v>
      </c>
      <c r="G7" s="5">
        <v>0</v>
      </c>
      <c r="H7" s="25">
        <f t="shared" si="0"/>
        <v>9</v>
      </c>
      <c r="I7" s="16" t="s">
        <v>31</v>
      </c>
    </row>
    <row r="8" spans="1:9" ht="22.5" customHeight="1" x14ac:dyDescent="0.25">
      <c r="A8" s="13" t="s">
        <v>20</v>
      </c>
      <c r="B8" s="5">
        <v>3</v>
      </c>
      <c r="C8" s="5">
        <v>5</v>
      </c>
      <c r="D8" s="5">
        <v>0</v>
      </c>
      <c r="E8" s="5">
        <v>0</v>
      </c>
      <c r="F8" s="5">
        <v>0</v>
      </c>
      <c r="G8" s="5">
        <v>0</v>
      </c>
      <c r="H8" s="25">
        <f t="shared" si="0"/>
        <v>8</v>
      </c>
      <c r="I8" s="21"/>
    </row>
    <row r="9" spans="1:9" ht="22.5" customHeight="1" x14ac:dyDescent="0.25">
      <c r="A9" s="13" t="s">
        <v>21</v>
      </c>
      <c r="B9" s="5">
        <v>2</v>
      </c>
      <c r="C9" s="5">
        <v>6</v>
      </c>
      <c r="D9" s="5">
        <v>0</v>
      </c>
      <c r="E9" s="5">
        <v>0</v>
      </c>
      <c r="F9" s="5">
        <v>0</v>
      </c>
      <c r="G9" s="5">
        <v>0</v>
      </c>
      <c r="H9" s="25">
        <f t="shared" si="0"/>
        <v>8</v>
      </c>
      <c r="I9" s="21"/>
    </row>
    <row r="10" spans="1:9" ht="22.5" customHeight="1" x14ac:dyDescent="0.25">
      <c r="A10" s="13" t="s">
        <v>22</v>
      </c>
      <c r="B10" s="5">
        <v>7</v>
      </c>
      <c r="C10" s="5">
        <v>17</v>
      </c>
      <c r="D10" s="5">
        <v>1</v>
      </c>
      <c r="E10" s="5">
        <v>0</v>
      </c>
      <c r="F10" s="5">
        <v>0</v>
      </c>
      <c r="G10" s="5">
        <v>1</v>
      </c>
      <c r="H10" s="25">
        <f t="shared" si="0"/>
        <v>26</v>
      </c>
      <c r="I10" s="21"/>
    </row>
    <row r="11" spans="1:9" ht="22.5" customHeight="1" x14ac:dyDescent="0.25">
      <c r="A11" s="13" t="s">
        <v>9</v>
      </c>
      <c r="B11" s="5">
        <v>1</v>
      </c>
      <c r="C11" s="5">
        <v>4</v>
      </c>
      <c r="D11" s="5">
        <v>0</v>
      </c>
      <c r="E11" s="5">
        <v>0</v>
      </c>
      <c r="F11" s="5">
        <v>0</v>
      </c>
      <c r="G11" s="5">
        <v>0</v>
      </c>
      <c r="H11" s="25">
        <f t="shared" si="0"/>
        <v>5</v>
      </c>
      <c r="I11" s="21"/>
    </row>
    <row r="12" spans="1:9" ht="22.5" customHeight="1" x14ac:dyDescent="0.25">
      <c r="A12" s="13" t="s">
        <v>12</v>
      </c>
      <c r="B12" s="5">
        <v>6</v>
      </c>
      <c r="C12" s="5">
        <v>5</v>
      </c>
      <c r="D12" s="5">
        <v>1</v>
      </c>
      <c r="E12" s="5">
        <v>0</v>
      </c>
      <c r="F12" s="5">
        <v>0</v>
      </c>
      <c r="G12" s="5">
        <v>0</v>
      </c>
      <c r="H12" s="25">
        <f t="shared" si="0"/>
        <v>12</v>
      </c>
      <c r="I12" s="21"/>
    </row>
    <row r="13" spans="1:9" ht="22.5" customHeight="1" x14ac:dyDescent="0.25">
      <c r="A13" s="14" t="s">
        <v>14</v>
      </c>
      <c r="B13" s="7">
        <v>2</v>
      </c>
      <c r="C13" s="7">
        <v>1</v>
      </c>
      <c r="D13" s="7">
        <v>0</v>
      </c>
      <c r="E13" s="7">
        <v>0</v>
      </c>
      <c r="F13" s="7">
        <v>0</v>
      </c>
      <c r="G13" s="7">
        <v>5</v>
      </c>
      <c r="H13" s="25">
        <f t="shared" si="0"/>
        <v>8</v>
      </c>
      <c r="I13" s="22"/>
    </row>
    <row r="14" spans="1:9" ht="22.5" customHeight="1" x14ac:dyDescent="0.25">
      <c r="A14" s="14" t="s">
        <v>15</v>
      </c>
      <c r="B14" s="7">
        <v>8</v>
      </c>
      <c r="C14" s="7">
        <v>5</v>
      </c>
      <c r="D14" s="7">
        <v>0</v>
      </c>
      <c r="E14" s="7">
        <v>0</v>
      </c>
      <c r="F14" s="7">
        <v>1</v>
      </c>
      <c r="G14" s="7">
        <v>5</v>
      </c>
      <c r="H14" s="25">
        <f>SUM(B14:G14)</f>
        <v>19</v>
      </c>
      <c r="I14" s="22"/>
    </row>
    <row r="15" spans="1:9" ht="22.5" customHeight="1" x14ac:dyDescent="0.25">
      <c r="A15" s="14" t="s">
        <v>24</v>
      </c>
      <c r="B15" s="7">
        <v>9</v>
      </c>
      <c r="C15" s="7">
        <v>2</v>
      </c>
      <c r="D15" s="7">
        <v>0</v>
      </c>
      <c r="E15" s="7">
        <v>0</v>
      </c>
      <c r="F15" s="7">
        <v>0</v>
      </c>
      <c r="G15" s="7">
        <v>0</v>
      </c>
      <c r="H15" s="25">
        <f t="shared" si="0"/>
        <v>11</v>
      </c>
      <c r="I15" s="22"/>
    </row>
    <row r="16" spans="1:9" ht="22.5" customHeight="1" x14ac:dyDescent="0.25">
      <c r="A16" s="14" t="s">
        <v>25</v>
      </c>
      <c r="B16" s="7">
        <v>13</v>
      </c>
      <c r="C16" s="7">
        <v>10</v>
      </c>
      <c r="D16" s="7">
        <v>0</v>
      </c>
      <c r="E16" s="7">
        <v>0</v>
      </c>
      <c r="F16" s="7">
        <v>0</v>
      </c>
      <c r="G16" s="7">
        <v>0</v>
      </c>
      <c r="H16" s="25">
        <f t="shared" si="0"/>
        <v>23</v>
      </c>
      <c r="I16" s="22" t="s">
        <v>32</v>
      </c>
    </row>
    <row r="17" spans="1:9" ht="22.5" customHeight="1" x14ac:dyDescent="0.25">
      <c r="A17" s="14" t="s">
        <v>27</v>
      </c>
      <c r="B17" s="7">
        <v>20</v>
      </c>
      <c r="C17" s="7">
        <v>18</v>
      </c>
      <c r="D17" s="7">
        <v>0</v>
      </c>
      <c r="E17" s="7">
        <v>2</v>
      </c>
      <c r="F17" s="7">
        <v>0</v>
      </c>
      <c r="G17" s="7">
        <v>0</v>
      </c>
      <c r="H17" s="25">
        <f>SUM(B17:G17)</f>
        <v>40</v>
      </c>
      <c r="I17" s="22" t="s">
        <v>32</v>
      </c>
    </row>
    <row r="18" spans="1:9" ht="22.5" customHeight="1" x14ac:dyDescent="0.25">
      <c r="A18" s="14" t="s">
        <v>28</v>
      </c>
      <c r="B18" s="7">
        <v>7</v>
      </c>
      <c r="C18" s="7">
        <v>40</v>
      </c>
      <c r="D18" s="7">
        <v>0</v>
      </c>
      <c r="E18" s="7">
        <v>0</v>
      </c>
      <c r="F18" s="7">
        <v>0</v>
      </c>
      <c r="G18" s="7">
        <v>0</v>
      </c>
      <c r="H18" s="25">
        <f>SUM(B18:G18)</f>
        <v>47</v>
      </c>
      <c r="I18" s="22" t="s">
        <v>33</v>
      </c>
    </row>
    <row r="19" spans="1:9" ht="22.5" customHeight="1" x14ac:dyDescent="0.25">
      <c r="A19" s="28" t="s">
        <v>34</v>
      </c>
      <c r="B19" s="29">
        <v>0</v>
      </c>
      <c r="C19" s="29">
        <v>4</v>
      </c>
      <c r="D19" s="29">
        <v>0</v>
      </c>
      <c r="E19" s="29">
        <v>0</v>
      </c>
      <c r="F19" s="29">
        <v>0</v>
      </c>
      <c r="G19" s="29">
        <v>0</v>
      </c>
      <c r="H19" s="30">
        <f>SUM(B19:G19)</f>
        <v>4</v>
      </c>
      <c r="I19" s="31"/>
    </row>
    <row r="20" spans="1:9" ht="22.5" customHeight="1" x14ac:dyDescent="0.25">
      <c r="A20" s="15" t="s">
        <v>16</v>
      </c>
      <c r="B20" s="8">
        <f t="shared" ref="B20:H20" si="1">SUM(B5:B19)</f>
        <v>114</v>
      </c>
      <c r="C20" s="8">
        <f t="shared" si="1"/>
        <v>155</v>
      </c>
      <c r="D20" s="8">
        <f t="shared" si="1"/>
        <v>4</v>
      </c>
      <c r="E20" s="8">
        <f t="shared" si="1"/>
        <v>4</v>
      </c>
      <c r="F20" s="8">
        <f t="shared" si="1"/>
        <v>7</v>
      </c>
      <c r="G20" s="8">
        <f t="shared" si="1"/>
        <v>11</v>
      </c>
      <c r="H20" s="27">
        <f t="shared" si="1"/>
        <v>295</v>
      </c>
      <c r="I20" s="23">
        <f>SUM(B20:G20)</f>
        <v>295</v>
      </c>
    </row>
  </sheetData>
  <mergeCells count="9">
    <mergeCell ref="G3:G4"/>
    <mergeCell ref="H3:H4"/>
    <mergeCell ref="I3:I4"/>
    <mergeCell ref="A3:A4"/>
    <mergeCell ref="B3:B4"/>
    <mergeCell ref="C3:C4"/>
    <mergeCell ref="D3:D4"/>
    <mergeCell ref="E3:E4"/>
    <mergeCell ref="F3:F4"/>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E3B909-9E7F-4380-BADD-1641767EFBA9}">
  <sheetPr codeName="Sheet8"/>
  <dimension ref="A1:I23"/>
  <sheetViews>
    <sheetView workbookViewId="0">
      <selection activeCell="H23" sqref="H23"/>
    </sheetView>
  </sheetViews>
  <sheetFormatPr defaultRowHeight="15" x14ac:dyDescent="0.25"/>
  <cols>
    <col min="1" max="1" width="30.85546875" style="12" customWidth="1"/>
    <col min="2" max="2" width="14.7109375" style="1" customWidth="1"/>
    <col min="3" max="8" width="10.7109375" style="1" customWidth="1"/>
    <col min="9" max="9" width="79.42578125" customWidth="1"/>
  </cols>
  <sheetData>
    <row r="1" spans="1:9" x14ac:dyDescent="0.25">
      <c r="A1" s="12" t="s">
        <v>0</v>
      </c>
      <c r="B1" s="6">
        <v>43922</v>
      </c>
    </row>
    <row r="3" spans="1:9" ht="15" customHeight="1" x14ac:dyDescent="0.25">
      <c r="A3" s="49" t="s">
        <v>1</v>
      </c>
      <c r="B3" s="45" t="s">
        <v>2</v>
      </c>
      <c r="C3" s="45" t="s">
        <v>3</v>
      </c>
      <c r="D3" s="45" t="s">
        <v>4</v>
      </c>
      <c r="E3" s="45" t="s">
        <v>5</v>
      </c>
      <c r="F3" s="45" t="s">
        <v>6</v>
      </c>
      <c r="G3" s="45" t="s">
        <v>7</v>
      </c>
      <c r="H3" s="45" t="s">
        <v>16</v>
      </c>
      <c r="I3" s="45" t="s">
        <v>8</v>
      </c>
    </row>
    <row r="4" spans="1:9" ht="15" customHeight="1" x14ac:dyDescent="0.25">
      <c r="A4" s="50"/>
      <c r="B4" s="46"/>
      <c r="C4" s="46"/>
      <c r="D4" s="46"/>
      <c r="E4" s="46"/>
      <c r="F4" s="46"/>
      <c r="G4" s="46"/>
      <c r="H4" s="46"/>
      <c r="I4" s="46"/>
    </row>
    <row r="5" spans="1:9" ht="22.5" customHeight="1" x14ac:dyDescent="0.25">
      <c r="A5" s="13" t="s">
        <v>17</v>
      </c>
      <c r="B5" s="5">
        <v>9</v>
      </c>
      <c r="C5" s="5">
        <v>21</v>
      </c>
      <c r="D5" s="5">
        <v>0</v>
      </c>
      <c r="E5" s="5">
        <v>0</v>
      </c>
      <c r="F5" s="5">
        <v>0</v>
      </c>
      <c r="G5" s="5">
        <v>0</v>
      </c>
      <c r="H5" s="25">
        <f t="shared" ref="H5:H16" si="0">SUM(B5:G5)</f>
        <v>30</v>
      </c>
      <c r="I5" s="21"/>
    </row>
    <row r="6" spans="1:9" ht="22.5" customHeight="1" x14ac:dyDescent="0.25">
      <c r="A6" s="13" t="s">
        <v>19</v>
      </c>
      <c r="B6" s="5">
        <v>15</v>
      </c>
      <c r="C6" s="5">
        <v>23</v>
      </c>
      <c r="D6" s="5">
        <v>2</v>
      </c>
      <c r="E6" s="5">
        <v>0</v>
      </c>
      <c r="F6" s="5">
        <v>1</v>
      </c>
      <c r="G6" s="5">
        <v>4</v>
      </c>
      <c r="H6" s="25">
        <f t="shared" si="0"/>
        <v>45</v>
      </c>
      <c r="I6" s="21" t="s">
        <v>36</v>
      </c>
    </row>
    <row r="7" spans="1:9" ht="22.5" customHeight="1" x14ac:dyDescent="0.25">
      <c r="A7" s="13" t="s">
        <v>11</v>
      </c>
      <c r="B7" s="5">
        <v>8</v>
      </c>
      <c r="C7" s="5">
        <v>0</v>
      </c>
      <c r="D7" s="5">
        <v>0</v>
      </c>
      <c r="E7" s="5">
        <v>1</v>
      </c>
      <c r="F7" s="5">
        <v>0</v>
      </c>
      <c r="G7" s="5">
        <v>0</v>
      </c>
      <c r="H7" s="25">
        <f t="shared" si="0"/>
        <v>9</v>
      </c>
      <c r="I7" s="16" t="s">
        <v>31</v>
      </c>
    </row>
    <row r="8" spans="1:9" ht="22.5" customHeight="1" x14ac:dyDescent="0.25">
      <c r="A8" s="13" t="s">
        <v>20</v>
      </c>
      <c r="B8" s="5">
        <v>3</v>
      </c>
      <c r="C8" s="5">
        <v>5</v>
      </c>
      <c r="D8" s="5">
        <v>0</v>
      </c>
      <c r="E8" s="5">
        <v>0</v>
      </c>
      <c r="F8" s="5">
        <v>0</v>
      </c>
      <c r="G8" s="5">
        <v>0</v>
      </c>
      <c r="H8" s="25">
        <f t="shared" si="0"/>
        <v>8</v>
      </c>
      <c r="I8" s="21"/>
    </row>
    <row r="9" spans="1:9" ht="22.5" customHeight="1" x14ac:dyDescent="0.25">
      <c r="A9" s="13" t="s">
        <v>21</v>
      </c>
      <c r="B9" s="5">
        <v>3</v>
      </c>
      <c r="C9" s="5">
        <v>5</v>
      </c>
      <c r="D9" s="5">
        <v>0</v>
      </c>
      <c r="E9" s="5">
        <v>0</v>
      </c>
      <c r="F9" s="5">
        <v>0</v>
      </c>
      <c r="G9" s="5">
        <v>0</v>
      </c>
      <c r="H9" s="25">
        <f t="shared" si="0"/>
        <v>8</v>
      </c>
      <c r="I9" s="21"/>
    </row>
    <row r="10" spans="1:9" ht="22.5" customHeight="1" x14ac:dyDescent="0.25">
      <c r="A10" s="13" t="s">
        <v>22</v>
      </c>
      <c r="B10" s="5">
        <v>6</v>
      </c>
      <c r="C10" s="5">
        <v>18</v>
      </c>
      <c r="D10" s="5">
        <v>1</v>
      </c>
      <c r="E10" s="5">
        <v>0</v>
      </c>
      <c r="F10" s="5">
        <v>0</v>
      </c>
      <c r="G10" s="5">
        <v>1</v>
      </c>
      <c r="H10" s="25">
        <f t="shared" si="0"/>
        <v>26</v>
      </c>
      <c r="I10" s="21"/>
    </row>
    <row r="11" spans="1:9" ht="22.5" customHeight="1" x14ac:dyDescent="0.25">
      <c r="A11" s="13" t="s">
        <v>9</v>
      </c>
      <c r="B11" s="5">
        <v>2</v>
      </c>
      <c r="C11" s="5">
        <v>3</v>
      </c>
      <c r="D11" s="5">
        <v>0</v>
      </c>
      <c r="E11" s="5">
        <v>0</v>
      </c>
      <c r="F11" s="5">
        <v>0</v>
      </c>
      <c r="G11" s="5">
        <v>0</v>
      </c>
      <c r="H11" s="25">
        <f t="shared" si="0"/>
        <v>5</v>
      </c>
      <c r="I11" s="21"/>
    </row>
    <row r="12" spans="1:9" ht="22.5" customHeight="1" x14ac:dyDescent="0.25">
      <c r="A12" s="13" t="s">
        <v>12</v>
      </c>
      <c r="B12" s="5">
        <v>7</v>
      </c>
      <c r="C12" s="5">
        <v>5</v>
      </c>
      <c r="D12" s="5">
        <v>0</v>
      </c>
      <c r="E12" s="5">
        <v>0</v>
      </c>
      <c r="F12" s="5">
        <v>0</v>
      </c>
      <c r="G12" s="5">
        <v>0</v>
      </c>
      <c r="H12" s="25">
        <f t="shared" si="0"/>
        <v>12</v>
      </c>
      <c r="I12" s="21"/>
    </row>
    <row r="13" spans="1:9" ht="22.5" customHeight="1" x14ac:dyDescent="0.25">
      <c r="A13" s="14" t="s">
        <v>14</v>
      </c>
      <c r="B13" s="7">
        <v>2</v>
      </c>
      <c r="C13" s="7">
        <v>3</v>
      </c>
      <c r="D13" s="7">
        <v>0</v>
      </c>
      <c r="E13" s="7">
        <v>0</v>
      </c>
      <c r="F13" s="7">
        <v>0</v>
      </c>
      <c r="G13" s="7">
        <v>3</v>
      </c>
      <c r="H13" s="25">
        <f t="shared" si="0"/>
        <v>8</v>
      </c>
      <c r="I13" s="22"/>
    </row>
    <row r="14" spans="1:9" ht="22.5" customHeight="1" x14ac:dyDescent="0.25">
      <c r="A14" s="14" t="s">
        <v>15</v>
      </c>
      <c r="B14" s="7">
        <v>7</v>
      </c>
      <c r="C14" s="7">
        <v>4</v>
      </c>
      <c r="D14" s="7">
        <v>0</v>
      </c>
      <c r="E14" s="7">
        <v>0</v>
      </c>
      <c r="F14" s="7">
        <v>1</v>
      </c>
      <c r="G14" s="7">
        <v>7</v>
      </c>
      <c r="H14" s="25">
        <f>SUM(B14:G14)</f>
        <v>19</v>
      </c>
      <c r="I14" s="22"/>
    </row>
    <row r="15" spans="1:9" ht="22.5" customHeight="1" x14ac:dyDescent="0.25">
      <c r="A15" s="14" t="s">
        <v>24</v>
      </c>
      <c r="B15" s="7">
        <v>7</v>
      </c>
      <c r="C15" s="7">
        <v>4</v>
      </c>
      <c r="D15" s="7">
        <v>0</v>
      </c>
      <c r="E15" s="7">
        <v>0</v>
      </c>
      <c r="F15" s="7">
        <v>0</v>
      </c>
      <c r="G15" s="7">
        <v>0</v>
      </c>
      <c r="H15" s="25">
        <f t="shared" si="0"/>
        <v>11</v>
      </c>
      <c r="I15" s="22"/>
    </row>
    <row r="16" spans="1:9" ht="22.5" customHeight="1" x14ac:dyDescent="0.25">
      <c r="A16" s="14" t="s">
        <v>25</v>
      </c>
      <c r="B16" s="7">
        <v>14</v>
      </c>
      <c r="C16" s="7">
        <v>12</v>
      </c>
      <c r="D16" s="7">
        <v>0</v>
      </c>
      <c r="E16" s="7">
        <v>0</v>
      </c>
      <c r="F16" s="7">
        <v>1</v>
      </c>
      <c r="G16" s="7">
        <v>0</v>
      </c>
      <c r="H16" s="25">
        <f t="shared" si="0"/>
        <v>27</v>
      </c>
      <c r="I16" s="22" t="s">
        <v>32</v>
      </c>
    </row>
    <row r="17" spans="1:9" ht="22.5" customHeight="1" x14ac:dyDescent="0.25">
      <c r="A17" s="14" t="s">
        <v>27</v>
      </c>
      <c r="B17" s="7">
        <v>21</v>
      </c>
      <c r="C17" s="7">
        <v>17</v>
      </c>
      <c r="D17" s="7">
        <v>0</v>
      </c>
      <c r="E17" s="7">
        <v>2</v>
      </c>
      <c r="F17" s="7">
        <v>0</v>
      </c>
      <c r="G17" s="7">
        <v>0</v>
      </c>
      <c r="H17" s="25">
        <f>SUM(B17:G17)</f>
        <v>40</v>
      </c>
      <c r="I17" s="22" t="s">
        <v>32</v>
      </c>
    </row>
    <row r="18" spans="1:9" ht="22.5" customHeight="1" x14ac:dyDescent="0.25">
      <c r="A18" s="14" t="s">
        <v>28</v>
      </c>
      <c r="B18" s="7">
        <v>7</v>
      </c>
      <c r="C18" s="7">
        <v>40</v>
      </c>
      <c r="D18" s="7">
        <v>0</v>
      </c>
      <c r="E18" s="7">
        <v>0</v>
      </c>
      <c r="F18" s="7">
        <v>0</v>
      </c>
      <c r="G18" s="7">
        <v>0</v>
      </c>
      <c r="H18" s="25">
        <f>SUM(B18:G18)</f>
        <v>47</v>
      </c>
      <c r="I18" s="22" t="s">
        <v>33</v>
      </c>
    </row>
    <row r="19" spans="1:9" ht="22.5" customHeight="1" x14ac:dyDescent="0.25">
      <c r="A19" s="28" t="s">
        <v>34</v>
      </c>
      <c r="B19" s="29">
        <v>0</v>
      </c>
      <c r="C19" s="29">
        <v>4</v>
      </c>
      <c r="D19" s="29">
        <v>0</v>
      </c>
      <c r="E19" s="29">
        <v>0</v>
      </c>
      <c r="F19" s="29">
        <v>0</v>
      </c>
      <c r="G19" s="29">
        <v>0</v>
      </c>
      <c r="H19" s="30">
        <f>SUM(B19:G19)</f>
        <v>4</v>
      </c>
      <c r="I19" s="31"/>
    </row>
    <row r="20" spans="1:9" ht="22.5" customHeight="1" x14ac:dyDescent="0.25">
      <c r="A20" s="15" t="s">
        <v>16</v>
      </c>
      <c r="B20" s="8">
        <f t="shared" ref="B20:H20" si="1">SUM(B5:B19)</f>
        <v>111</v>
      </c>
      <c r="C20" s="8">
        <f t="shared" si="1"/>
        <v>164</v>
      </c>
      <c r="D20" s="8">
        <f t="shared" si="1"/>
        <v>3</v>
      </c>
      <c r="E20" s="8">
        <f t="shared" si="1"/>
        <v>3</v>
      </c>
      <c r="F20" s="8">
        <f t="shared" si="1"/>
        <v>3</v>
      </c>
      <c r="G20" s="8">
        <f t="shared" si="1"/>
        <v>15</v>
      </c>
      <c r="H20" s="27">
        <f t="shared" si="1"/>
        <v>299</v>
      </c>
      <c r="I20" s="23">
        <f>SUM(B20:G20)</f>
        <v>299</v>
      </c>
    </row>
    <row r="23" spans="1:9" x14ac:dyDescent="0.25">
      <c r="H23" s="1">
        <f>H20-'March 31'!H20</f>
        <v>4</v>
      </c>
      <c r="I23" t="s">
        <v>37</v>
      </c>
    </row>
  </sheetData>
  <mergeCells count="9">
    <mergeCell ref="G3:G4"/>
    <mergeCell ref="H3:H4"/>
    <mergeCell ref="I3:I4"/>
    <mergeCell ref="A3:A4"/>
    <mergeCell ref="B3:B4"/>
    <mergeCell ref="C3:C4"/>
    <mergeCell ref="D3:D4"/>
    <mergeCell ref="E3:E4"/>
    <mergeCell ref="F3:F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D0B4AE-7C20-4B09-AA84-481C7AC4B8ED}">
  <sheetPr codeName="Sheet9"/>
  <dimension ref="A1:I23"/>
  <sheetViews>
    <sheetView workbookViewId="0">
      <selection activeCell="I29" sqref="I29"/>
    </sheetView>
  </sheetViews>
  <sheetFormatPr defaultRowHeight="15" x14ac:dyDescent="0.25"/>
  <cols>
    <col min="1" max="1" width="30.85546875" style="12" customWidth="1"/>
    <col min="2" max="2" width="14.7109375" style="1" customWidth="1"/>
    <col min="3" max="8" width="10.7109375" style="1" customWidth="1"/>
    <col min="9" max="9" width="79.42578125" customWidth="1"/>
  </cols>
  <sheetData>
    <row r="1" spans="1:9" x14ac:dyDescent="0.25">
      <c r="A1" s="12" t="s">
        <v>0</v>
      </c>
      <c r="B1" s="6">
        <v>43923</v>
      </c>
    </row>
    <row r="3" spans="1:9" ht="15" customHeight="1" x14ac:dyDescent="0.25">
      <c r="A3" s="49" t="s">
        <v>1</v>
      </c>
      <c r="B3" s="45" t="s">
        <v>2</v>
      </c>
      <c r="C3" s="45" t="s">
        <v>3</v>
      </c>
      <c r="D3" s="45" t="s">
        <v>4</v>
      </c>
      <c r="E3" s="45" t="s">
        <v>5</v>
      </c>
      <c r="F3" s="45" t="s">
        <v>6</v>
      </c>
      <c r="G3" s="45" t="s">
        <v>7</v>
      </c>
      <c r="H3" s="45" t="s">
        <v>16</v>
      </c>
      <c r="I3" s="45" t="s">
        <v>8</v>
      </c>
    </row>
    <row r="4" spans="1:9" ht="15" customHeight="1" thickBot="1" x14ac:dyDescent="0.3">
      <c r="A4" s="50"/>
      <c r="B4" s="46"/>
      <c r="C4" s="46"/>
      <c r="D4" s="46"/>
      <c r="E4" s="46"/>
      <c r="F4" s="46"/>
      <c r="G4" s="46"/>
      <c r="H4" s="46"/>
      <c r="I4" s="46"/>
    </row>
    <row r="5" spans="1:9" ht="22.5" customHeight="1" x14ac:dyDescent="0.25">
      <c r="A5" s="13" t="s">
        <v>17</v>
      </c>
      <c r="B5" s="5">
        <v>9</v>
      </c>
      <c r="C5" s="5">
        <v>20</v>
      </c>
      <c r="D5" s="5">
        <v>0</v>
      </c>
      <c r="E5" s="5">
        <v>1</v>
      </c>
      <c r="F5" s="5">
        <v>0</v>
      </c>
      <c r="G5" s="5">
        <v>0</v>
      </c>
      <c r="H5" s="25">
        <f t="shared" ref="H5:H16" si="0">SUM(B5:G5)</f>
        <v>30</v>
      </c>
      <c r="I5" s="21" t="s">
        <v>38</v>
      </c>
    </row>
    <row r="6" spans="1:9" ht="22.5" customHeight="1" x14ac:dyDescent="0.25">
      <c r="A6" s="13" t="s">
        <v>19</v>
      </c>
      <c r="B6" s="5">
        <v>15</v>
      </c>
      <c r="C6" s="5">
        <v>26</v>
      </c>
      <c r="D6" s="5">
        <v>1</v>
      </c>
      <c r="E6" s="5">
        <v>0</v>
      </c>
      <c r="F6" s="5">
        <v>0</v>
      </c>
      <c r="G6" s="5">
        <v>3</v>
      </c>
      <c r="H6" s="25">
        <f t="shared" si="0"/>
        <v>45</v>
      </c>
      <c r="I6" s="21"/>
    </row>
    <row r="7" spans="1:9" ht="22.5" customHeight="1" thickBot="1" x14ac:dyDescent="0.3">
      <c r="A7" s="13" t="s">
        <v>11</v>
      </c>
      <c r="B7" s="5">
        <v>8</v>
      </c>
      <c r="C7" s="5">
        <v>0</v>
      </c>
      <c r="D7" s="5">
        <v>0</v>
      </c>
      <c r="E7" s="5">
        <v>1</v>
      </c>
      <c r="F7" s="5">
        <v>0</v>
      </c>
      <c r="G7" s="5">
        <v>0</v>
      </c>
      <c r="H7" s="25">
        <f t="shared" si="0"/>
        <v>9</v>
      </c>
      <c r="I7" s="16" t="s">
        <v>31</v>
      </c>
    </row>
    <row r="8" spans="1:9" ht="22.5" customHeight="1" x14ac:dyDescent="0.25">
      <c r="A8" s="13" t="s">
        <v>20</v>
      </c>
      <c r="B8" s="5">
        <v>3</v>
      </c>
      <c r="C8" s="5">
        <v>5</v>
      </c>
      <c r="D8" s="5">
        <v>0</v>
      </c>
      <c r="E8" s="5">
        <v>0</v>
      </c>
      <c r="F8" s="5">
        <v>0</v>
      </c>
      <c r="G8" s="5">
        <v>0</v>
      </c>
      <c r="H8" s="25">
        <f t="shared" si="0"/>
        <v>8</v>
      </c>
      <c r="I8" s="21"/>
    </row>
    <row r="9" spans="1:9" ht="22.5" customHeight="1" x14ac:dyDescent="0.25">
      <c r="A9" s="13" t="s">
        <v>21</v>
      </c>
      <c r="B9" s="5">
        <v>2</v>
      </c>
      <c r="C9" s="5">
        <v>6</v>
      </c>
      <c r="D9" s="5">
        <v>0</v>
      </c>
      <c r="E9" s="5">
        <v>0</v>
      </c>
      <c r="F9" s="5">
        <v>0</v>
      </c>
      <c r="G9" s="5">
        <v>0</v>
      </c>
      <c r="H9" s="25">
        <f t="shared" si="0"/>
        <v>8</v>
      </c>
      <c r="I9" s="21"/>
    </row>
    <row r="10" spans="1:9" ht="22.5" customHeight="1" x14ac:dyDescent="0.25">
      <c r="A10" s="13" t="s">
        <v>22</v>
      </c>
      <c r="B10" s="5">
        <v>9</v>
      </c>
      <c r="C10" s="5">
        <v>14</v>
      </c>
      <c r="D10" s="5">
        <v>2</v>
      </c>
      <c r="E10" s="5">
        <v>0</v>
      </c>
      <c r="F10" s="5">
        <v>0</v>
      </c>
      <c r="G10" s="5">
        <v>1</v>
      </c>
      <c r="H10" s="25">
        <f t="shared" si="0"/>
        <v>26</v>
      </c>
      <c r="I10" s="21"/>
    </row>
    <row r="11" spans="1:9" ht="22.5" customHeight="1" x14ac:dyDescent="0.25">
      <c r="A11" s="13" t="s">
        <v>9</v>
      </c>
      <c r="B11" s="5">
        <v>1</v>
      </c>
      <c r="C11" s="5">
        <v>4</v>
      </c>
      <c r="D11" s="5">
        <v>0</v>
      </c>
      <c r="E11" s="5">
        <v>0</v>
      </c>
      <c r="F11" s="5">
        <v>0</v>
      </c>
      <c r="G11" s="5">
        <v>0</v>
      </c>
      <c r="H11" s="25">
        <f t="shared" si="0"/>
        <v>5</v>
      </c>
      <c r="I11" s="21"/>
    </row>
    <row r="12" spans="1:9" ht="22.5" customHeight="1" x14ac:dyDescent="0.25">
      <c r="A12" s="13" t="s">
        <v>12</v>
      </c>
      <c r="B12" s="5">
        <v>6</v>
      </c>
      <c r="C12" s="5">
        <v>6</v>
      </c>
      <c r="D12" s="5">
        <v>0</v>
      </c>
      <c r="E12" s="5">
        <v>0</v>
      </c>
      <c r="F12" s="5">
        <v>0</v>
      </c>
      <c r="G12" s="5">
        <v>0</v>
      </c>
      <c r="H12" s="25">
        <f t="shared" si="0"/>
        <v>12</v>
      </c>
      <c r="I12" s="21"/>
    </row>
    <row r="13" spans="1:9" ht="22.5" customHeight="1" x14ac:dyDescent="0.25">
      <c r="A13" s="14" t="s">
        <v>14</v>
      </c>
      <c r="B13" s="7">
        <v>2</v>
      </c>
      <c r="C13" s="7">
        <v>3</v>
      </c>
      <c r="D13" s="7">
        <v>0</v>
      </c>
      <c r="E13" s="7">
        <v>0</v>
      </c>
      <c r="F13" s="7">
        <v>0</v>
      </c>
      <c r="G13" s="7">
        <v>3</v>
      </c>
      <c r="H13" s="25">
        <f t="shared" si="0"/>
        <v>8</v>
      </c>
      <c r="I13" s="22"/>
    </row>
    <row r="14" spans="1:9" ht="22.5" customHeight="1" x14ac:dyDescent="0.25">
      <c r="A14" s="14" t="s">
        <v>15</v>
      </c>
      <c r="B14" s="7">
        <v>5</v>
      </c>
      <c r="C14" s="7">
        <v>8</v>
      </c>
      <c r="D14" s="7">
        <v>0</v>
      </c>
      <c r="E14" s="7">
        <v>0</v>
      </c>
      <c r="F14" s="7">
        <v>1</v>
      </c>
      <c r="G14" s="7">
        <v>5</v>
      </c>
      <c r="H14" s="25">
        <f>SUM(B14:G14)</f>
        <v>19</v>
      </c>
      <c r="I14" s="22"/>
    </row>
    <row r="15" spans="1:9" ht="22.5" customHeight="1" x14ac:dyDescent="0.25">
      <c r="A15" s="14" t="s">
        <v>24</v>
      </c>
      <c r="B15" s="7">
        <v>6</v>
      </c>
      <c r="C15" s="7">
        <v>4</v>
      </c>
      <c r="D15" s="7">
        <v>0</v>
      </c>
      <c r="E15" s="7">
        <v>0</v>
      </c>
      <c r="F15" s="7">
        <v>1</v>
      </c>
      <c r="G15" s="7">
        <v>0</v>
      </c>
      <c r="H15" s="25">
        <f t="shared" si="0"/>
        <v>11</v>
      </c>
      <c r="I15" s="22"/>
    </row>
    <row r="16" spans="1:9" ht="22.5" customHeight="1" x14ac:dyDescent="0.25">
      <c r="A16" s="14" t="s">
        <v>25</v>
      </c>
      <c r="B16" s="7">
        <v>15</v>
      </c>
      <c r="C16" s="7">
        <v>12</v>
      </c>
      <c r="D16" s="7">
        <v>0</v>
      </c>
      <c r="E16" s="7">
        <v>0</v>
      </c>
      <c r="F16" s="7">
        <v>0</v>
      </c>
      <c r="G16" s="7">
        <v>0</v>
      </c>
      <c r="H16" s="25">
        <f t="shared" si="0"/>
        <v>27</v>
      </c>
      <c r="I16" s="22" t="s">
        <v>32</v>
      </c>
    </row>
    <row r="17" spans="1:9" ht="22.5" customHeight="1" x14ac:dyDescent="0.25">
      <c r="A17" s="14" t="s">
        <v>27</v>
      </c>
      <c r="B17" s="7">
        <v>19</v>
      </c>
      <c r="C17" s="7">
        <v>16</v>
      </c>
      <c r="D17" s="7">
        <v>1</v>
      </c>
      <c r="E17" s="7">
        <v>2</v>
      </c>
      <c r="F17" s="7">
        <v>0</v>
      </c>
      <c r="G17" s="7">
        <v>0</v>
      </c>
      <c r="H17" s="25">
        <f>SUM(B17:G17)</f>
        <v>38</v>
      </c>
      <c r="I17" s="22" t="s">
        <v>32</v>
      </c>
    </row>
    <row r="18" spans="1:9" ht="22.5" customHeight="1" x14ac:dyDescent="0.25">
      <c r="A18" s="14" t="s">
        <v>28</v>
      </c>
      <c r="B18" s="7">
        <v>7</v>
      </c>
      <c r="C18" s="7">
        <v>39</v>
      </c>
      <c r="D18" s="7">
        <v>1</v>
      </c>
      <c r="E18" s="7">
        <v>0</v>
      </c>
      <c r="F18" s="7">
        <v>0</v>
      </c>
      <c r="G18" s="7">
        <v>0</v>
      </c>
      <c r="H18" s="25">
        <f>SUM(B18:G18)</f>
        <v>47</v>
      </c>
      <c r="I18" s="22" t="s">
        <v>33</v>
      </c>
    </row>
    <row r="19" spans="1:9" ht="22.5" customHeight="1" x14ac:dyDescent="0.25">
      <c r="A19" s="28" t="s">
        <v>34</v>
      </c>
      <c r="B19" s="29">
        <v>0</v>
      </c>
      <c r="C19" s="29">
        <v>4</v>
      </c>
      <c r="D19" s="29">
        <v>0</v>
      </c>
      <c r="E19" s="29">
        <v>0</v>
      </c>
      <c r="F19" s="29">
        <v>0</v>
      </c>
      <c r="G19" s="29">
        <v>0</v>
      </c>
      <c r="H19" s="30">
        <f>SUM(B19:G19)</f>
        <v>4</v>
      </c>
      <c r="I19" s="31"/>
    </row>
    <row r="20" spans="1:9" ht="22.5" customHeight="1" thickBot="1" x14ac:dyDescent="0.3">
      <c r="A20" s="15" t="s">
        <v>16</v>
      </c>
      <c r="B20" s="8">
        <f t="shared" ref="B20:H20" si="1">SUM(B5:B19)</f>
        <v>107</v>
      </c>
      <c r="C20" s="8">
        <f t="shared" si="1"/>
        <v>167</v>
      </c>
      <c r="D20" s="8">
        <f t="shared" si="1"/>
        <v>5</v>
      </c>
      <c r="E20" s="8">
        <f t="shared" si="1"/>
        <v>4</v>
      </c>
      <c r="F20" s="8">
        <f t="shared" si="1"/>
        <v>2</v>
      </c>
      <c r="G20" s="8">
        <f t="shared" si="1"/>
        <v>12</v>
      </c>
      <c r="H20" s="27">
        <f t="shared" si="1"/>
        <v>297</v>
      </c>
      <c r="I20" s="23">
        <f>SUM(B20:G20)</f>
        <v>297</v>
      </c>
    </row>
    <row r="23" spans="1:9" x14ac:dyDescent="0.25">
      <c r="H23" s="1">
        <f>+H20-'April 1'!H20</f>
        <v>-2</v>
      </c>
      <c r="I23" t="s">
        <v>37</v>
      </c>
    </row>
  </sheetData>
  <mergeCells count="9">
    <mergeCell ref="G3:G4"/>
    <mergeCell ref="H3:H4"/>
    <mergeCell ref="I3:I4"/>
    <mergeCell ref="A3:A4"/>
    <mergeCell ref="B3:B4"/>
    <mergeCell ref="C3:C4"/>
    <mergeCell ref="D3:D4"/>
    <mergeCell ref="E3:E4"/>
    <mergeCell ref="F3:F4"/>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E9774-3CC7-44F6-B41A-F34CB41EDE95}">
  <sheetPr codeName="Sheet10"/>
  <dimension ref="A1:I23"/>
  <sheetViews>
    <sheetView topLeftCell="A4" workbookViewId="0">
      <selection activeCell="I5" sqref="I5"/>
    </sheetView>
  </sheetViews>
  <sheetFormatPr defaultRowHeight="15" x14ac:dyDescent="0.25"/>
  <cols>
    <col min="1" max="1" width="30.85546875" style="12" customWidth="1"/>
    <col min="2" max="2" width="14.7109375" style="1" customWidth="1"/>
    <col min="3" max="8" width="10.7109375" style="1" customWidth="1"/>
    <col min="9" max="9" width="79.42578125" customWidth="1"/>
  </cols>
  <sheetData>
    <row r="1" spans="1:9" x14ac:dyDescent="0.25">
      <c r="A1" s="12" t="s">
        <v>0</v>
      </c>
      <c r="B1" s="6">
        <v>43924</v>
      </c>
    </row>
    <row r="3" spans="1:9" ht="15" customHeight="1" x14ac:dyDescent="0.25">
      <c r="A3" s="49" t="s">
        <v>1</v>
      </c>
      <c r="B3" s="45" t="s">
        <v>2</v>
      </c>
      <c r="C3" s="45" t="s">
        <v>3</v>
      </c>
      <c r="D3" s="45" t="s">
        <v>4</v>
      </c>
      <c r="E3" s="45" t="s">
        <v>5</v>
      </c>
      <c r="F3" s="45" t="s">
        <v>6</v>
      </c>
      <c r="G3" s="45" t="s">
        <v>7</v>
      </c>
      <c r="H3" s="45" t="s">
        <v>16</v>
      </c>
      <c r="I3" s="45" t="s">
        <v>8</v>
      </c>
    </row>
    <row r="4" spans="1:9" ht="15" customHeight="1" thickBot="1" x14ac:dyDescent="0.3">
      <c r="A4" s="50"/>
      <c r="B4" s="46"/>
      <c r="C4" s="46"/>
      <c r="D4" s="46"/>
      <c r="E4" s="46"/>
      <c r="F4" s="46"/>
      <c r="G4" s="46"/>
      <c r="H4" s="46"/>
      <c r="I4" s="46"/>
    </row>
    <row r="5" spans="1:9" ht="22.5" customHeight="1" x14ac:dyDescent="0.25">
      <c r="A5" s="13" t="s">
        <v>17</v>
      </c>
      <c r="B5" s="5">
        <v>6</v>
      </c>
      <c r="C5" s="5">
        <v>21</v>
      </c>
      <c r="D5" s="5">
        <v>0</v>
      </c>
      <c r="E5" s="5">
        <v>0</v>
      </c>
      <c r="F5" s="5">
        <v>1</v>
      </c>
      <c r="G5" s="5">
        <v>2</v>
      </c>
      <c r="H5" s="25">
        <f t="shared" ref="H5:H16" si="0">SUM(B5:G5)</f>
        <v>30</v>
      </c>
      <c r="I5" s="21" t="s">
        <v>38</v>
      </c>
    </row>
    <row r="6" spans="1:9" ht="22.5" customHeight="1" x14ac:dyDescent="0.25">
      <c r="A6" s="13" t="s">
        <v>19</v>
      </c>
      <c r="B6" s="5">
        <v>17</v>
      </c>
      <c r="C6" s="5">
        <v>25</v>
      </c>
      <c r="D6" s="5">
        <v>0</v>
      </c>
      <c r="E6" s="5">
        <v>0</v>
      </c>
      <c r="F6" s="5">
        <v>0</v>
      </c>
      <c r="G6" s="5">
        <v>3</v>
      </c>
      <c r="H6" s="25">
        <f t="shared" si="0"/>
        <v>45</v>
      </c>
      <c r="I6" s="21"/>
    </row>
    <row r="7" spans="1:9" ht="22.5" customHeight="1" thickBot="1" x14ac:dyDescent="0.3">
      <c r="A7" s="13" t="s">
        <v>11</v>
      </c>
      <c r="B7" s="5">
        <v>8</v>
      </c>
      <c r="C7" s="5">
        <v>0</v>
      </c>
      <c r="D7" s="5">
        <v>0</v>
      </c>
      <c r="E7" s="5">
        <v>1</v>
      </c>
      <c r="F7" s="5">
        <v>0</v>
      </c>
      <c r="G7" s="5">
        <v>0</v>
      </c>
      <c r="H7" s="25">
        <f t="shared" si="0"/>
        <v>9</v>
      </c>
      <c r="I7" s="16" t="s">
        <v>31</v>
      </c>
    </row>
    <row r="8" spans="1:9" ht="22.5" customHeight="1" x14ac:dyDescent="0.25">
      <c r="A8" s="13" t="s">
        <v>20</v>
      </c>
      <c r="B8" s="5">
        <v>1</v>
      </c>
      <c r="C8" s="5">
        <v>4</v>
      </c>
      <c r="D8" s="5">
        <v>0</v>
      </c>
      <c r="E8" s="5">
        <v>0</v>
      </c>
      <c r="F8" s="5">
        <v>0</v>
      </c>
      <c r="G8" s="5">
        <v>3</v>
      </c>
      <c r="H8" s="25">
        <f t="shared" si="0"/>
        <v>8</v>
      </c>
      <c r="I8" s="21"/>
    </row>
    <row r="9" spans="1:9" ht="22.5" customHeight="1" x14ac:dyDescent="0.25">
      <c r="A9" s="13" t="s">
        <v>21</v>
      </c>
      <c r="B9" s="5">
        <v>5</v>
      </c>
      <c r="C9" s="5">
        <v>3</v>
      </c>
      <c r="D9" s="5">
        <v>0</v>
      </c>
      <c r="E9" s="5">
        <v>0</v>
      </c>
      <c r="F9" s="5">
        <v>0</v>
      </c>
      <c r="G9" s="5">
        <v>0</v>
      </c>
      <c r="H9" s="25">
        <f t="shared" si="0"/>
        <v>8</v>
      </c>
      <c r="I9" s="21"/>
    </row>
    <row r="10" spans="1:9" ht="22.5" customHeight="1" x14ac:dyDescent="0.25">
      <c r="A10" s="13" t="s">
        <v>22</v>
      </c>
      <c r="B10" s="5">
        <v>6</v>
      </c>
      <c r="C10" s="5">
        <v>17</v>
      </c>
      <c r="D10" s="5">
        <v>2</v>
      </c>
      <c r="E10" s="5">
        <v>0</v>
      </c>
      <c r="F10" s="5">
        <v>0</v>
      </c>
      <c r="G10" s="5">
        <v>1</v>
      </c>
      <c r="H10" s="25">
        <f t="shared" si="0"/>
        <v>26</v>
      </c>
      <c r="I10" s="21"/>
    </row>
    <row r="11" spans="1:9" ht="22.5" customHeight="1" x14ac:dyDescent="0.25">
      <c r="A11" s="13" t="s">
        <v>9</v>
      </c>
      <c r="B11" s="5">
        <v>0</v>
      </c>
      <c r="C11" s="5">
        <v>5</v>
      </c>
      <c r="D11" s="5">
        <v>0</v>
      </c>
      <c r="E11" s="5">
        <v>0</v>
      </c>
      <c r="F11" s="5">
        <v>0</v>
      </c>
      <c r="G11" s="5">
        <v>0</v>
      </c>
      <c r="H11" s="25">
        <f t="shared" si="0"/>
        <v>5</v>
      </c>
      <c r="I11" s="21"/>
    </row>
    <row r="12" spans="1:9" ht="22.5" customHeight="1" x14ac:dyDescent="0.25">
      <c r="A12" s="13" t="s">
        <v>12</v>
      </c>
      <c r="B12" s="5">
        <v>6</v>
      </c>
      <c r="C12" s="5">
        <v>5</v>
      </c>
      <c r="D12" s="5">
        <v>0</v>
      </c>
      <c r="E12" s="5">
        <v>0</v>
      </c>
      <c r="F12" s="5">
        <v>0</v>
      </c>
      <c r="G12" s="5">
        <v>1</v>
      </c>
      <c r="H12" s="25">
        <f t="shared" si="0"/>
        <v>12</v>
      </c>
      <c r="I12" s="21"/>
    </row>
    <row r="13" spans="1:9" ht="22.5" customHeight="1" x14ac:dyDescent="0.25">
      <c r="A13" s="14" t="s">
        <v>14</v>
      </c>
      <c r="B13" s="7">
        <v>2</v>
      </c>
      <c r="C13" s="7">
        <v>1</v>
      </c>
      <c r="D13" s="7">
        <v>0</v>
      </c>
      <c r="E13" s="7">
        <v>0</v>
      </c>
      <c r="F13" s="7">
        <v>0</v>
      </c>
      <c r="G13" s="7">
        <v>5</v>
      </c>
      <c r="H13" s="25">
        <f t="shared" si="0"/>
        <v>8</v>
      </c>
      <c r="I13" s="22"/>
    </row>
    <row r="14" spans="1:9" ht="22.5" customHeight="1" x14ac:dyDescent="0.25">
      <c r="A14" s="14" t="s">
        <v>15</v>
      </c>
      <c r="B14" s="7">
        <v>7</v>
      </c>
      <c r="C14" s="7">
        <v>5</v>
      </c>
      <c r="D14" s="7">
        <v>0</v>
      </c>
      <c r="E14" s="7">
        <v>0</v>
      </c>
      <c r="F14" s="7">
        <v>0</v>
      </c>
      <c r="G14" s="7">
        <v>7</v>
      </c>
      <c r="H14" s="25">
        <f>SUM(B14:G14)</f>
        <v>19</v>
      </c>
      <c r="I14" s="22"/>
    </row>
    <row r="15" spans="1:9" ht="22.5" customHeight="1" x14ac:dyDescent="0.25">
      <c r="A15" s="14" t="s">
        <v>24</v>
      </c>
      <c r="B15" s="7">
        <v>4</v>
      </c>
      <c r="C15" s="7">
        <v>4</v>
      </c>
      <c r="D15" s="7">
        <v>0</v>
      </c>
      <c r="E15" s="7">
        <v>0</v>
      </c>
      <c r="F15" s="7">
        <v>1</v>
      </c>
      <c r="G15" s="7">
        <v>2</v>
      </c>
      <c r="H15" s="25">
        <f t="shared" si="0"/>
        <v>11</v>
      </c>
      <c r="I15" s="22"/>
    </row>
    <row r="16" spans="1:9" ht="22.5" customHeight="1" x14ac:dyDescent="0.25">
      <c r="A16" s="14" t="s">
        <v>25</v>
      </c>
      <c r="B16" s="7">
        <v>15</v>
      </c>
      <c r="C16" s="7">
        <v>12</v>
      </c>
      <c r="D16" s="7">
        <v>0</v>
      </c>
      <c r="E16" s="7">
        <v>0</v>
      </c>
      <c r="F16" s="7">
        <v>0</v>
      </c>
      <c r="G16" s="7">
        <v>0</v>
      </c>
      <c r="H16" s="25">
        <f t="shared" si="0"/>
        <v>27</v>
      </c>
      <c r="I16" s="22" t="s">
        <v>32</v>
      </c>
    </row>
    <row r="17" spans="1:9" ht="22.5" customHeight="1" x14ac:dyDescent="0.25">
      <c r="A17" s="14" t="s">
        <v>27</v>
      </c>
      <c r="B17" s="7">
        <v>19</v>
      </c>
      <c r="C17" s="7">
        <v>17</v>
      </c>
      <c r="D17" s="7">
        <v>0</v>
      </c>
      <c r="E17" s="32">
        <v>2</v>
      </c>
      <c r="F17" s="7">
        <v>0</v>
      </c>
      <c r="G17" s="7">
        <v>0</v>
      </c>
      <c r="H17" s="25">
        <f>SUM(B17:G17)</f>
        <v>38</v>
      </c>
      <c r="I17" s="22" t="s">
        <v>32</v>
      </c>
    </row>
    <row r="18" spans="1:9" ht="30" x14ac:dyDescent="0.25">
      <c r="A18" s="14" t="s">
        <v>28</v>
      </c>
      <c r="B18" s="7">
        <v>7</v>
      </c>
      <c r="C18" s="7">
        <v>39</v>
      </c>
      <c r="D18" s="7">
        <v>0</v>
      </c>
      <c r="E18" s="7">
        <v>1</v>
      </c>
      <c r="F18" s="7">
        <v>0</v>
      </c>
      <c r="G18" s="7">
        <v>0</v>
      </c>
      <c r="H18" s="25">
        <f>SUM(B18:G18)</f>
        <v>47</v>
      </c>
      <c r="I18" s="22" t="s">
        <v>39</v>
      </c>
    </row>
    <row r="19" spans="1:9" ht="22.5" customHeight="1" x14ac:dyDescent="0.25">
      <c r="A19" s="28" t="s">
        <v>34</v>
      </c>
      <c r="B19" s="29">
        <v>0</v>
      </c>
      <c r="C19" s="29">
        <v>4</v>
      </c>
      <c r="D19" s="29">
        <v>0</v>
      </c>
      <c r="E19" s="29">
        <v>0</v>
      </c>
      <c r="F19" s="29">
        <v>0</v>
      </c>
      <c r="G19" s="29">
        <v>0</v>
      </c>
      <c r="H19" s="30">
        <f>SUM(B19:G19)</f>
        <v>4</v>
      </c>
      <c r="I19" s="31"/>
    </row>
    <row r="20" spans="1:9" ht="22.5" customHeight="1" thickBot="1" x14ac:dyDescent="0.3">
      <c r="A20" s="15" t="s">
        <v>16</v>
      </c>
      <c r="B20" s="8">
        <f t="shared" ref="B20:H20" si="1">SUM(B5:B19)</f>
        <v>103</v>
      </c>
      <c r="C20" s="8">
        <f t="shared" si="1"/>
        <v>162</v>
      </c>
      <c r="D20" s="8">
        <f t="shared" si="1"/>
        <v>2</v>
      </c>
      <c r="E20" s="8">
        <f t="shared" si="1"/>
        <v>4</v>
      </c>
      <c r="F20" s="8">
        <f t="shared" si="1"/>
        <v>2</v>
      </c>
      <c r="G20" s="8">
        <f t="shared" si="1"/>
        <v>24</v>
      </c>
      <c r="H20" s="27">
        <f t="shared" si="1"/>
        <v>297</v>
      </c>
      <c r="I20" s="23">
        <f>SUM(B20:G20)</f>
        <v>297</v>
      </c>
    </row>
    <row r="23" spans="1:9" x14ac:dyDescent="0.25">
      <c r="H23" s="1">
        <f>+H20-'April 2'!H20</f>
        <v>0</v>
      </c>
      <c r="I23" t="s">
        <v>37</v>
      </c>
    </row>
  </sheetData>
  <mergeCells count="9">
    <mergeCell ref="G3:G4"/>
    <mergeCell ref="H3:H4"/>
    <mergeCell ref="I3:I4"/>
    <mergeCell ref="A3:A4"/>
    <mergeCell ref="B3:B4"/>
    <mergeCell ref="C3:C4"/>
    <mergeCell ref="D3:D4"/>
    <mergeCell ref="E3:E4"/>
    <mergeCell ref="F3:F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71B90-A161-489C-9D65-109B684ECF99}">
  <sheetPr codeName="Sheet11"/>
  <dimension ref="A1:I23"/>
  <sheetViews>
    <sheetView topLeftCell="A4" workbookViewId="0">
      <selection sqref="A1:XFD1048576"/>
    </sheetView>
  </sheetViews>
  <sheetFormatPr defaultRowHeight="15" x14ac:dyDescent="0.25"/>
  <cols>
    <col min="1" max="1" width="30.85546875" style="12" customWidth="1"/>
    <col min="2" max="2" width="14.7109375" style="1" customWidth="1"/>
    <col min="3" max="8" width="10.7109375" style="1" customWidth="1"/>
    <col min="9" max="9" width="44.7109375" customWidth="1"/>
  </cols>
  <sheetData>
    <row r="1" spans="1:9" x14ac:dyDescent="0.25">
      <c r="A1" s="12" t="s">
        <v>0</v>
      </c>
      <c r="B1" s="6">
        <v>43927</v>
      </c>
    </row>
    <row r="3" spans="1:9" ht="15" customHeight="1" x14ac:dyDescent="0.25">
      <c r="A3" s="49" t="s">
        <v>1</v>
      </c>
      <c r="B3" s="45" t="s">
        <v>2</v>
      </c>
      <c r="C3" s="45" t="s">
        <v>3</v>
      </c>
      <c r="D3" s="45" t="s">
        <v>4</v>
      </c>
      <c r="E3" s="45" t="s">
        <v>5</v>
      </c>
      <c r="F3" s="45" t="s">
        <v>6</v>
      </c>
      <c r="G3" s="45" t="s">
        <v>7</v>
      </c>
      <c r="H3" s="45" t="s">
        <v>16</v>
      </c>
      <c r="I3" s="45" t="s">
        <v>8</v>
      </c>
    </row>
    <row r="4" spans="1:9" ht="15" customHeight="1" thickBot="1" x14ac:dyDescent="0.3">
      <c r="A4" s="50"/>
      <c r="B4" s="46"/>
      <c r="C4" s="46"/>
      <c r="D4" s="46"/>
      <c r="E4" s="46"/>
      <c r="F4" s="46"/>
      <c r="G4" s="46"/>
      <c r="H4" s="46"/>
      <c r="I4" s="46"/>
    </row>
    <row r="5" spans="1:9" ht="22.5" customHeight="1" x14ac:dyDescent="0.25">
      <c r="A5" s="13" t="s">
        <v>17</v>
      </c>
      <c r="B5" s="5">
        <v>10</v>
      </c>
      <c r="C5" s="5">
        <v>19</v>
      </c>
      <c r="D5" s="5">
        <v>0</v>
      </c>
      <c r="E5" s="5">
        <v>0</v>
      </c>
      <c r="F5" s="5">
        <v>1</v>
      </c>
      <c r="G5" s="5">
        <v>0</v>
      </c>
      <c r="H5" s="25">
        <f t="shared" ref="H5:H16" si="0">SUM(B5:G5)</f>
        <v>30</v>
      </c>
      <c r="I5" s="21"/>
    </row>
    <row r="6" spans="1:9" ht="22.5" customHeight="1" x14ac:dyDescent="0.25">
      <c r="A6" s="13" t="s">
        <v>19</v>
      </c>
      <c r="B6" s="5">
        <v>16</v>
      </c>
      <c r="C6" s="5">
        <v>22</v>
      </c>
      <c r="D6" s="5">
        <v>0</v>
      </c>
      <c r="E6" s="5">
        <v>0</v>
      </c>
      <c r="F6" s="5">
        <v>1</v>
      </c>
      <c r="G6" s="5">
        <v>6</v>
      </c>
      <c r="H6" s="33">
        <f t="shared" si="0"/>
        <v>45</v>
      </c>
      <c r="I6" s="21"/>
    </row>
    <row r="7" spans="1:9" ht="22.5" customHeight="1" thickBot="1" x14ac:dyDescent="0.3">
      <c r="A7" s="13" t="s">
        <v>11</v>
      </c>
      <c r="B7" s="5">
        <v>6</v>
      </c>
      <c r="C7" s="5">
        <v>2</v>
      </c>
      <c r="D7" s="5">
        <v>0</v>
      </c>
      <c r="E7" s="5">
        <v>1</v>
      </c>
      <c r="F7" s="5">
        <v>0</v>
      </c>
      <c r="G7" s="5">
        <v>0</v>
      </c>
      <c r="H7" s="25">
        <f t="shared" si="0"/>
        <v>9</v>
      </c>
      <c r="I7" s="16" t="s">
        <v>31</v>
      </c>
    </row>
    <row r="8" spans="1:9" ht="22.5" customHeight="1" x14ac:dyDescent="0.25">
      <c r="A8" s="13" t="s">
        <v>20</v>
      </c>
      <c r="B8" s="5">
        <v>1</v>
      </c>
      <c r="C8" s="5">
        <v>4</v>
      </c>
      <c r="D8" s="5">
        <v>0</v>
      </c>
      <c r="E8" s="5">
        <v>0</v>
      </c>
      <c r="F8" s="5">
        <v>0</v>
      </c>
      <c r="G8" s="5">
        <v>3</v>
      </c>
      <c r="H8" s="25">
        <f t="shared" si="0"/>
        <v>8</v>
      </c>
      <c r="I8" s="21"/>
    </row>
    <row r="9" spans="1:9" ht="22.5" customHeight="1" x14ac:dyDescent="0.25">
      <c r="A9" s="13" t="s">
        <v>21</v>
      </c>
      <c r="B9" s="5">
        <v>4</v>
      </c>
      <c r="C9" s="5">
        <v>3</v>
      </c>
      <c r="D9" s="5">
        <v>0</v>
      </c>
      <c r="E9" s="5">
        <v>0</v>
      </c>
      <c r="F9" s="5">
        <v>1</v>
      </c>
      <c r="G9" s="5">
        <v>0</v>
      </c>
      <c r="H9" s="25">
        <f t="shared" si="0"/>
        <v>8</v>
      </c>
      <c r="I9" s="21"/>
    </row>
    <row r="10" spans="1:9" ht="22.5" customHeight="1" x14ac:dyDescent="0.25">
      <c r="A10" s="13" t="s">
        <v>22</v>
      </c>
      <c r="B10" s="5">
        <v>10</v>
      </c>
      <c r="C10" s="5">
        <v>13</v>
      </c>
      <c r="D10" s="5">
        <v>1</v>
      </c>
      <c r="E10" s="5">
        <v>0</v>
      </c>
      <c r="F10" s="5">
        <v>0</v>
      </c>
      <c r="G10" s="5">
        <v>2</v>
      </c>
      <c r="H10" s="25">
        <f t="shared" si="0"/>
        <v>26</v>
      </c>
      <c r="I10" s="21"/>
    </row>
    <row r="11" spans="1:9" ht="22.5" customHeight="1" x14ac:dyDescent="0.25">
      <c r="A11" s="13" t="s">
        <v>9</v>
      </c>
      <c r="B11" s="5">
        <v>2</v>
      </c>
      <c r="C11" s="5">
        <v>3</v>
      </c>
      <c r="D11" s="5">
        <v>0</v>
      </c>
      <c r="E11" s="5">
        <v>0</v>
      </c>
      <c r="F11" s="5">
        <v>0</v>
      </c>
      <c r="G11" s="5">
        <v>0</v>
      </c>
      <c r="H11" s="25">
        <f t="shared" si="0"/>
        <v>5</v>
      </c>
      <c r="I11" s="21"/>
    </row>
    <row r="12" spans="1:9" ht="22.5" customHeight="1" x14ac:dyDescent="0.25">
      <c r="A12" s="13" t="s">
        <v>12</v>
      </c>
      <c r="B12" s="5">
        <v>7</v>
      </c>
      <c r="C12" s="5">
        <v>4</v>
      </c>
      <c r="D12" s="5">
        <v>0</v>
      </c>
      <c r="E12" s="5">
        <v>0</v>
      </c>
      <c r="F12" s="5">
        <v>0</v>
      </c>
      <c r="G12" s="5">
        <v>1</v>
      </c>
      <c r="H12" s="25">
        <f t="shared" si="0"/>
        <v>12</v>
      </c>
      <c r="I12" s="21"/>
    </row>
    <row r="13" spans="1:9" ht="22.5" customHeight="1" x14ac:dyDescent="0.25">
      <c r="A13" s="14" t="s">
        <v>14</v>
      </c>
      <c r="B13" s="7">
        <v>2</v>
      </c>
      <c r="C13" s="7">
        <v>0</v>
      </c>
      <c r="D13" s="7">
        <v>0</v>
      </c>
      <c r="E13" s="7">
        <v>0</v>
      </c>
      <c r="F13" s="7">
        <v>1</v>
      </c>
      <c r="G13" s="7">
        <v>5</v>
      </c>
      <c r="H13" s="25">
        <f t="shared" si="0"/>
        <v>8</v>
      </c>
      <c r="I13" s="22"/>
    </row>
    <row r="14" spans="1:9" ht="22.5" customHeight="1" x14ac:dyDescent="0.25">
      <c r="A14" s="14" t="s">
        <v>15</v>
      </c>
      <c r="B14" s="7">
        <v>6</v>
      </c>
      <c r="C14" s="7">
        <v>4</v>
      </c>
      <c r="D14" s="7">
        <v>0</v>
      </c>
      <c r="E14" s="7">
        <v>0</v>
      </c>
      <c r="F14" s="7">
        <v>0</v>
      </c>
      <c r="G14" s="7">
        <v>9</v>
      </c>
      <c r="H14" s="25">
        <f>SUM(B14:G14)</f>
        <v>19</v>
      </c>
      <c r="I14" s="22"/>
    </row>
    <row r="15" spans="1:9" ht="22.5" customHeight="1" x14ac:dyDescent="0.25">
      <c r="A15" s="14" t="s">
        <v>24</v>
      </c>
      <c r="B15" s="7">
        <v>5</v>
      </c>
      <c r="C15" s="7">
        <v>6</v>
      </c>
      <c r="D15" s="7">
        <v>0</v>
      </c>
      <c r="E15" s="7">
        <v>0</v>
      </c>
      <c r="F15" s="7">
        <v>0</v>
      </c>
      <c r="G15" s="7">
        <v>0</v>
      </c>
      <c r="H15" s="25">
        <f t="shared" si="0"/>
        <v>11</v>
      </c>
      <c r="I15" s="22"/>
    </row>
    <row r="16" spans="1:9" ht="22.5" customHeight="1" x14ac:dyDescent="0.25">
      <c r="A16" s="14" t="s">
        <v>25</v>
      </c>
      <c r="B16" s="7">
        <v>14</v>
      </c>
      <c r="C16" s="7">
        <v>12</v>
      </c>
      <c r="D16" s="7">
        <v>0</v>
      </c>
      <c r="E16" s="7">
        <v>0</v>
      </c>
      <c r="F16" s="7">
        <v>1</v>
      </c>
      <c r="G16" s="7">
        <v>0</v>
      </c>
      <c r="H16" s="25">
        <f t="shared" si="0"/>
        <v>27</v>
      </c>
      <c r="I16" s="22" t="s">
        <v>32</v>
      </c>
    </row>
    <row r="17" spans="1:9" ht="45" x14ac:dyDescent="0.25">
      <c r="A17" s="14" t="s">
        <v>27</v>
      </c>
      <c r="B17" s="7">
        <v>18</v>
      </c>
      <c r="C17" s="7">
        <v>16</v>
      </c>
      <c r="D17" s="7">
        <v>1</v>
      </c>
      <c r="E17" s="32">
        <v>2</v>
      </c>
      <c r="F17" s="7">
        <v>0</v>
      </c>
      <c r="G17" s="7">
        <v>1</v>
      </c>
      <c r="H17" s="25">
        <f>SUM(B17:G17)</f>
        <v>38</v>
      </c>
      <c r="I17" s="22" t="s">
        <v>40</v>
      </c>
    </row>
    <row r="18" spans="1:9" ht="30" x14ac:dyDescent="0.25">
      <c r="A18" s="14" t="s">
        <v>28</v>
      </c>
      <c r="B18" s="7">
        <v>6</v>
      </c>
      <c r="C18" s="7">
        <v>40</v>
      </c>
      <c r="D18" s="7">
        <v>0</v>
      </c>
      <c r="E18" s="7">
        <v>0</v>
      </c>
      <c r="F18" s="7">
        <v>0</v>
      </c>
      <c r="G18" s="7">
        <v>1</v>
      </c>
      <c r="H18" s="25">
        <f>SUM(B18:G18)</f>
        <v>47</v>
      </c>
      <c r="I18" s="22" t="s">
        <v>33</v>
      </c>
    </row>
    <row r="19" spans="1:9" ht="22.5" customHeight="1" x14ac:dyDescent="0.25">
      <c r="A19" s="28" t="s">
        <v>34</v>
      </c>
      <c r="B19" s="29">
        <v>0</v>
      </c>
      <c r="C19" s="29">
        <v>4</v>
      </c>
      <c r="D19" s="29">
        <v>0</v>
      </c>
      <c r="E19" s="29">
        <v>0</v>
      </c>
      <c r="F19" s="29">
        <v>0</v>
      </c>
      <c r="G19" s="29">
        <v>0</v>
      </c>
      <c r="H19" s="30">
        <f>SUM(B19:G19)</f>
        <v>4</v>
      </c>
      <c r="I19" s="31"/>
    </row>
    <row r="20" spans="1:9" ht="22.5" customHeight="1" thickBot="1" x14ac:dyDescent="0.3">
      <c r="A20" s="15" t="s">
        <v>16</v>
      </c>
      <c r="B20" s="8">
        <f t="shared" ref="B20:H20" si="1">SUM(B5:B19)</f>
        <v>107</v>
      </c>
      <c r="C20" s="8">
        <f t="shared" si="1"/>
        <v>152</v>
      </c>
      <c r="D20" s="8">
        <f t="shared" si="1"/>
        <v>2</v>
      </c>
      <c r="E20" s="8">
        <f t="shared" si="1"/>
        <v>3</v>
      </c>
      <c r="F20" s="8">
        <f t="shared" si="1"/>
        <v>5</v>
      </c>
      <c r="G20" s="8">
        <f t="shared" si="1"/>
        <v>28</v>
      </c>
      <c r="H20" s="27">
        <f t="shared" si="1"/>
        <v>297</v>
      </c>
      <c r="I20" s="23">
        <f>SUM(B20:G20)</f>
        <v>297</v>
      </c>
    </row>
    <row r="23" spans="1:9" x14ac:dyDescent="0.25">
      <c r="H23" s="1">
        <f>H20-'April 3'!H20</f>
        <v>0</v>
      </c>
      <c r="I23" t="s">
        <v>37</v>
      </c>
    </row>
  </sheetData>
  <mergeCells count="9">
    <mergeCell ref="G3:G4"/>
    <mergeCell ref="H3:H4"/>
    <mergeCell ref="I3:I4"/>
    <mergeCell ref="A3:A4"/>
    <mergeCell ref="B3:B4"/>
    <mergeCell ref="C3:C4"/>
    <mergeCell ref="D3:D4"/>
    <mergeCell ref="E3:E4"/>
    <mergeCell ref="F3:F4"/>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983DD-8A40-40C8-8846-76867FAD5E28}">
  <sheetPr codeName="Sheet12"/>
  <dimension ref="A1:I26"/>
  <sheetViews>
    <sheetView workbookViewId="0">
      <selection activeCell="F23" sqref="F23"/>
    </sheetView>
  </sheetViews>
  <sheetFormatPr defaultRowHeight="15" x14ac:dyDescent="0.25"/>
  <cols>
    <col min="1" max="1" width="30.85546875" style="12" customWidth="1"/>
    <col min="2" max="2" width="14.7109375" style="1" customWidth="1"/>
    <col min="3" max="8" width="10.7109375" style="1" customWidth="1"/>
    <col min="9" max="9" width="44.7109375" customWidth="1"/>
  </cols>
  <sheetData>
    <row r="1" spans="1:9" x14ac:dyDescent="0.25">
      <c r="A1" s="12" t="s">
        <v>0</v>
      </c>
      <c r="B1" s="6">
        <v>43928</v>
      </c>
    </row>
    <row r="3" spans="1:9" ht="15" customHeight="1" x14ac:dyDescent="0.25">
      <c r="A3" s="49" t="s">
        <v>1</v>
      </c>
      <c r="B3" s="45" t="s">
        <v>2</v>
      </c>
      <c r="C3" s="45" t="s">
        <v>3</v>
      </c>
      <c r="D3" s="45" t="s">
        <v>4</v>
      </c>
      <c r="E3" s="45" t="s">
        <v>5</v>
      </c>
      <c r="F3" s="45" t="s">
        <v>6</v>
      </c>
      <c r="G3" s="45" t="s">
        <v>7</v>
      </c>
      <c r="H3" s="45" t="s">
        <v>16</v>
      </c>
      <c r="I3" s="45" t="s">
        <v>8</v>
      </c>
    </row>
    <row r="4" spans="1:9" ht="15" customHeight="1" thickBot="1" x14ac:dyDescent="0.3">
      <c r="A4" s="50"/>
      <c r="B4" s="46"/>
      <c r="C4" s="46"/>
      <c r="D4" s="46"/>
      <c r="E4" s="46"/>
      <c r="F4" s="46"/>
      <c r="G4" s="46"/>
      <c r="H4" s="46"/>
      <c r="I4" s="46"/>
    </row>
    <row r="5" spans="1:9" ht="22.5" customHeight="1" x14ac:dyDescent="0.25">
      <c r="A5" s="13" t="s">
        <v>17</v>
      </c>
      <c r="B5" s="5">
        <v>10</v>
      </c>
      <c r="C5" s="5">
        <v>19</v>
      </c>
      <c r="D5" s="5">
        <v>0</v>
      </c>
      <c r="E5" s="5">
        <v>0</v>
      </c>
      <c r="F5" s="5">
        <v>1</v>
      </c>
      <c r="G5" s="5">
        <v>0</v>
      </c>
      <c r="H5" s="25">
        <f t="shared" ref="H5:H16" si="0">SUM(B5:G5)</f>
        <v>30</v>
      </c>
      <c r="I5" s="21"/>
    </row>
    <row r="6" spans="1:9" ht="22.5" customHeight="1" x14ac:dyDescent="0.25">
      <c r="A6" s="13" t="s">
        <v>19</v>
      </c>
      <c r="B6" s="5">
        <v>21</v>
      </c>
      <c r="C6" s="5">
        <v>21</v>
      </c>
      <c r="D6" s="5">
        <v>0</v>
      </c>
      <c r="E6" s="5">
        <v>0</v>
      </c>
      <c r="F6" s="5">
        <v>1</v>
      </c>
      <c r="G6" s="5">
        <v>2</v>
      </c>
      <c r="H6" s="33">
        <f t="shared" si="0"/>
        <v>45</v>
      </c>
      <c r="I6" s="21"/>
    </row>
    <row r="7" spans="1:9" ht="22.5" customHeight="1" thickBot="1" x14ac:dyDescent="0.3">
      <c r="A7" s="13" t="s">
        <v>11</v>
      </c>
      <c r="B7" s="5">
        <v>7</v>
      </c>
      <c r="C7" s="5">
        <v>1</v>
      </c>
      <c r="D7" s="5">
        <v>0</v>
      </c>
      <c r="E7" s="5">
        <v>1</v>
      </c>
      <c r="F7" s="5">
        <v>0</v>
      </c>
      <c r="G7" s="5">
        <v>0</v>
      </c>
      <c r="H7" s="25">
        <f t="shared" si="0"/>
        <v>9</v>
      </c>
      <c r="I7" s="16" t="s">
        <v>31</v>
      </c>
    </row>
    <row r="8" spans="1:9" ht="22.5" customHeight="1" x14ac:dyDescent="0.25">
      <c r="A8" s="13" t="s">
        <v>20</v>
      </c>
      <c r="B8" s="5">
        <v>1</v>
      </c>
      <c r="C8" s="5">
        <v>7</v>
      </c>
      <c r="D8" s="5">
        <v>0</v>
      </c>
      <c r="E8" s="5">
        <v>0</v>
      </c>
      <c r="F8" s="5">
        <v>0</v>
      </c>
      <c r="G8" s="5">
        <v>0</v>
      </c>
      <c r="H8" s="33">
        <f t="shared" si="0"/>
        <v>8</v>
      </c>
      <c r="I8" s="21"/>
    </row>
    <row r="9" spans="1:9" ht="22.5" customHeight="1" x14ac:dyDescent="0.25">
      <c r="A9" s="13" t="s">
        <v>21</v>
      </c>
      <c r="B9" s="5">
        <v>2</v>
      </c>
      <c r="C9" s="5">
        <v>5</v>
      </c>
      <c r="D9" s="5">
        <v>0</v>
      </c>
      <c r="E9" s="5">
        <v>0</v>
      </c>
      <c r="F9" s="5">
        <v>1</v>
      </c>
      <c r="G9" s="5">
        <v>0</v>
      </c>
      <c r="H9" s="25">
        <f t="shared" si="0"/>
        <v>8</v>
      </c>
      <c r="I9" s="21"/>
    </row>
    <row r="10" spans="1:9" ht="22.5" customHeight="1" x14ac:dyDescent="0.25">
      <c r="A10" s="13" t="s">
        <v>22</v>
      </c>
      <c r="B10" s="5">
        <v>7</v>
      </c>
      <c r="C10" s="5">
        <v>17</v>
      </c>
      <c r="D10" s="5">
        <v>1</v>
      </c>
      <c r="E10" s="5">
        <v>0</v>
      </c>
      <c r="F10" s="5">
        <v>0</v>
      </c>
      <c r="G10" s="5">
        <v>1</v>
      </c>
      <c r="H10" s="25">
        <f t="shared" si="0"/>
        <v>26</v>
      </c>
      <c r="I10" s="21"/>
    </row>
    <row r="11" spans="1:9" ht="22.5" customHeight="1" x14ac:dyDescent="0.25">
      <c r="A11" s="13" t="s">
        <v>9</v>
      </c>
      <c r="B11" s="5">
        <v>0</v>
      </c>
      <c r="C11" s="5">
        <v>5</v>
      </c>
      <c r="D11" s="5">
        <v>0</v>
      </c>
      <c r="E11" s="5">
        <v>0</v>
      </c>
      <c r="F11" s="5">
        <v>0</v>
      </c>
      <c r="G11" s="5">
        <v>0</v>
      </c>
      <c r="H11" s="25">
        <f t="shared" si="0"/>
        <v>5</v>
      </c>
      <c r="I11" s="21"/>
    </row>
    <row r="12" spans="1:9" ht="22.5" customHeight="1" x14ac:dyDescent="0.25">
      <c r="A12" s="13" t="s">
        <v>12</v>
      </c>
      <c r="B12" s="5">
        <v>8</v>
      </c>
      <c r="C12" s="5">
        <v>4</v>
      </c>
      <c r="D12" s="5">
        <v>0</v>
      </c>
      <c r="E12" s="5">
        <v>0</v>
      </c>
      <c r="F12" s="5">
        <v>0</v>
      </c>
      <c r="G12" s="5">
        <v>0</v>
      </c>
      <c r="H12" s="25">
        <f t="shared" si="0"/>
        <v>12</v>
      </c>
      <c r="I12" s="21"/>
    </row>
    <row r="13" spans="1:9" ht="22.5" customHeight="1" x14ac:dyDescent="0.25">
      <c r="A13" s="14" t="s">
        <v>14</v>
      </c>
      <c r="B13" s="7">
        <v>1</v>
      </c>
      <c r="C13" s="7">
        <v>1</v>
      </c>
      <c r="D13" s="7">
        <v>0</v>
      </c>
      <c r="E13" s="7">
        <v>0</v>
      </c>
      <c r="F13" s="7">
        <v>1</v>
      </c>
      <c r="G13" s="7">
        <v>5</v>
      </c>
      <c r="H13" s="25">
        <f t="shared" si="0"/>
        <v>8</v>
      </c>
      <c r="I13" s="22"/>
    </row>
    <row r="14" spans="1:9" ht="22.5" customHeight="1" x14ac:dyDescent="0.25">
      <c r="A14" s="14" t="s">
        <v>15</v>
      </c>
      <c r="B14" s="7">
        <v>5</v>
      </c>
      <c r="C14" s="7">
        <v>6</v>
      </c>
      <c r="D14" s="7">
        <v>0</v>
      </c>
      <c r="E14" s="7">
        <v>0</v>
      </c>
      <c r="F14" s="7">
        <v>0</v>
      </c>
      <c r="G14" s="7">
        <v>8</v>
      </c>
      <c r="H14" s="25">
        <f>SUM(B14:G14)</f>
        <v>19</v>
      </c>
      <c r="I14" s="22"/>
    </row>
    <row r="15" spans="1:9" ht="22.5" customHeight="1" x14ac:dyDescent="0.25">
      <c r="A15" s="14" t="s">
        <v>24</v>
      </c>
      <c r="B15" s="7">
        <v>6</v>
      </c>
      <c r="C15" s="7">
        <v>5</v>
      </c>
      <c r="D15" s="7">
        <v>0</v>
      </c>
      <c r="E15" s="7">
        <v>0</v>
      </c>
      <c r="F15" s="7">
        <v>0</v>
      </c>
      <c r="G15" s="7">
        <v>0</v>
      </c>
      <c r="H15" s="25">
        <f t="shared" si="0"/>
        <v>11</v>
      </c>
      <c r="I15" s="22"/>
    </row>
    <row r="16" spans="1:9" ht="22.5" customHeight="1" x14ac:dyDescent="0.25">
      <c r="A16" s="14" t="s">
        <v>25</v>
      </c>
      <c r="B16" s="7">
        <v>15</v>
      </c>
      <c r="C16" s="7">
        <v>12</v>
      </c>
      <c r="D16" s="7">
        <v>0</v>
      </c>
      <c r="E16" s="7">
        <v>0</v>
      </c>
      <c r="F16" s="7">
        <v>0</v>
      </c>
      <c r="G16" s="7">
        <v>0</v>
      </c>
      <c r="H16" s="25">
        <f t="shared" si="0"/>
        <v>27</v>
      </c>
      <c r="I16" s="22" t="s">
        <v>32</v>
      </c>
    </row>
    <row r="17" spans="1:9" x14ac:dyDescent="0.25">
      <c r="A17" s="14" t="s">
        <v>27</v>
      </c>
      <c r="B17" s="7">
        <v>18</v>
      </c>
      <c r="C17" s="7">
        <v>16</v>
      </c>
      <c r="D17" s="7">
        <v>0</v>
      </c>
      <c r="E17" s="32">
        <v>2</v>
      </c>
      <c r="F17" s="7">
        <v>0</v>
      </c>
      <c r="G17" s="7">
        <v>2</v>
      </c>
      <c r="H17" s="25">
        <f>SUM(B17:G17)</f>
        <v>38</v>
      </c>
      <c r="I17" s="22" t="s">
        <v>32</v>
      </c>
    </row>
    <row r="18" spans="1:9" ht="30" x14ac:dyDescent="0.25">
      <c r="A18" s="14" t="s">
        <v>28</v>
      </c>
      <c r="B18" s="7">
        <v>7</v>
      </c>
      <c r="C18" s="7">
        <v>40</v>
      </c>
      <c r="D18" s="7">
        <v>0</v>
      </c>
      <c r="E18" s="7">
        <v>0</v>
      </c>
      <c r="F18" s="7">
        <v>0</v>
      </c>
      <c r="G18" s="7">
        <v>0</v>
      </c>
      <c r="H18" s="25">
        <f>SUM(B18:G18)</f>
        <v>47</v>
      </c>
      <c r="I18" s="22" t="s">
        <v>33</v>
      </c>
    </row>
    <row r="19" spans="1:9" ht="22.5" customHeight="1" x14ac:dyDescent="0.25">
      <c r="A19" s="28" t="s">
        <v>34</v>
      </c>
      <c r="B19" s="29">
        <v>0</v>
      </c>
      <c r="C19" s="29">
        <v>4</v>
      </c>
      <c r="D19" s="29">
        <v>0</v>
      </c>
      <c r="E19" s="29">
        <v>0</v>
      </c>
      <c r="F19" s="29">
        <v>0</v>
      </c>
      <c r="G19" s="29">
        <v>0</v>
      </c>
      <c r="H19" s="30">
        <f>SUM(B19:G19)</f>
        <v>4</v>
      </c>
      <c r="I19" s="31"/>
    </row>
    <row r="20" spans="1:9" ht="22.5" customHeight="1" thickBot="1" x14ac:dyDescent="0.3">
      <c r="A20" s="15" t="s">
        <v>16</v>
      </c>
      <c r="B20" s="8">
        <f t="shared" ref="B20:H20" si="1">SUM(B5:B19)</f>
        <v>108</v>
      </c>
      <c r="C20" s="8">
        <f t="shared" si="1"/>
        <v>163</v>
      </c>
      <c r="D20" s="8">
        <f t="shared" si="1"/>
        <v>1</v>
      </c>
      <c r="E20" s="8">
        <f t="shared" si="1"/>
        <v>3</v>
      </c>
      <c r="F20" s="8">
        <f t="shared" si="1"/>
        <v>4</v>
      </c>
      <c r="G20" s="8">
        <f t="shared" si="1"/>
        <v>18</v>
      </c>
      <c r="H20" s="27">
        <f t="shared" si="1"/>
        <v>297</v>
      </c>
      <c r="I20" s="23">
        <f>SUM(B20:G20)</f>
        <v>297</v>
      </c>
    </row>
    <row r="23" spans="1:9" x14ac:dyDescent="0.25">
      <c r="H23" s="1">
        <f>H20-'April 3'!H20</f>
        <v>0</v>
      </c>
      <c r="I23" t="s">
        <v>37</v>
      </c>
    </row>
    <row r="26" spans="1:9" x14ac:dyDescent="0.25">
      <c r="B26" s="1" t="s">
        <v>41</v>
      </c>
    </row>
  </sheetData>
  <mergeCells count="9">
    <mergeCell ref="G3:G4"/>
    <mergeCell ref="H3:H4"/>
    <mergeCell ref="I3:I4"/>
    <mergeCell ref="A3:A4"/>
    <mergeCell ref="B3:B4"/>
    <mergeCell ref="C3:C4"/>
    <mergeCell ref="D3:D4"/>
    <mergeCell ref="E3:E4"/>
    <mergeCell ref="F3:F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87EC0-EB1D-4F5B-A0F8-DCC269612837}">
  <sheetPr codeName="Sheet13"/>
  <dimension ref="A1:I26"/>
  <sheetViews>
    <sheetView topLeftCell="A4" workbookViewId="0">
      <selection activeCell="B5" sqref="B5:G20"/>
    </sheetView>
  </sheetViews>
  <sheetFormatPr defaultRowHeight="15" x14ac:dyDescent="0.25"/>
  <cols>
    <col min="1" max="1" width="30.85546875" style="12" customWidth="1"/>
    <col min="2" max="2" width="14.7109375" style="1" customWidth="1"/>
    <col min="3" max="8" width="10.7109375" style="1" customWidth="1"/>
    <col min="9" max="9" width="40.140625" customWidth="1"/>
  </cols>
  <sheetData>
    <row r="1" spans="1:9" x14ac:dyDescent="0.25">
      <c r="A1" s="12" t="s">
        <v>0</v>
      </c>
      <c r="B1" s="6">
        <v>43929</v>
      </c>
    </row>
    <row r="3" spans="1:9" ht="15" customHeight="1" x14ac:dyDescent="0.25">
      <c r="A3" s="49" t="s">
        <v>1</v>
      </c>
      <c r="B3" s="45" t="s">
        <v>2</v>
      </c>
      <c r="C3" s="45" t="s">
        <v>3</v>
      </c>
      <c r="D3" s="45" t="s">
        <v>4</v>
      </c>
      <c r="E3" s="45" t="s">
        <v>5</v>
      </c>
      <c r="F3" s="45" t="s">
        <v>6</v>
      </c>
      <c r="G3" s="45" t="s">
        <v>7</v>
      </c>
      <c r="H3" s="45" t="s">
        <v>16</v>
      </c>
      <c r="I3" s="45" t="s">
        <v>8</v>
      </c>
    </row>
    <row r="4" spans="1:9" ht="15" customHeight="1" thickBot="1" x14ac:dyDescent="0.3">
      <c r="A4" s="50"/>
      <c r="B4" s="46"/>
      <c r="C4" s="46"/>
      <c r="D4" s="46"/>
      <c r="E4" s="46"/>
      <c r="F4" s="46"/>
      <c r="G4" s="46"/>
      <c r="H4" s="46"/>
      <c r="I4" s="46"/>
    </row>
    <row r="5" spans="1:9" ht="22.5" customHeight="1" x14ac:dyDescent="0.25">
      <c r="A5" s="13" t="s">
        <v>17</v>
      </c>
      <c r="B5" s="5">
        <v>9</v>
      </c>
      <c r="C5" s="5">
        <v>20</v>
      </c>
      <c r="D5" s="5">
        <v>0</v>
      </c>
      <c r="E5" s="5">
        <v>0</v>
      </c>
      <c r="F5" s="5">
        <v>1</v>
      </c>
      <c r="G5" s="5">
        <v>0</v>
      </c>
      <c r="H5" s="33">
        <f t="shared" ref="H5:H16" si="0">SUM(B5:G5)</f>
        <v>30</v>
      </c>
      <c r="I5" s="21"/>
    </row>
    <row r="6" spans="1:9" ht="22.5" customHeight="1" x14ac:dyDescent="0.25">
      <c r="A6" s="13" t="s">
        <v>19</v>
      </c>
      <c r="B6" s="5">
        <v>17</v>
      </c>
      <c r="C6" s="5">
        <v>25</v>
      </c>
      <c r="D6" s="5">
        <v>0</v>
      </c>
      <c r="E6" s="5">
        <v>0</v>
      </c>
      <c r="F6" s="5">
        <v>1</v>
      </c>
      <c r="G6" s="5">
        <v>2</v>
      </c>
      <c r="H6" s="33">
        <f t="shared" si="0"/>
        <v>45</v>
      </c>
      <c r="I6" s="21"/>
    </row>
    <row r="7" spans="1:9" ht="22.5" customHeight="1" thickBot="1" x14ac:dyDescent="0.3">
      <c r="A7" s="13" t="s">
        <v>11</v>
      </c>
      <c r="B7" s="5">
        <v>6</v>
      </c>
      <c r="C7" s="5">
        <v>1</v>
      </c>
      <c r="D7" s="5">
        <v>0</v>
      </c>
      <c r="E7" s="5">
        <v>1</v>
      </c>
      <c r="F7" s="5">
        <v>1</v>
      </c>
      <c r="G7" s="5">
        <v>0</v>
      </c>
      <c r="H7" s="25">
        <f t="shared" si="0"/>
        <v>9</v>
      </c>
      <c r="I7" s="16" t="s">
        <v>31</v>
      </c>
    </row>
    <row r="8" spans="1:9" ht="22.5" customHeight="1" x14ac:dyDescent="0.25">
      <c r="A8" s="13" t="s">
        <v>20</v>
      </c>
      <c r="B8" s="5">
        <v>2</v>
      </c>
      <c r="C8" s="5">
        <v>6</v>
      </c>
      <c r="D8" s="5">
        <v>0</v>
      </c>
      <c r="E8" s="5">
        <v>0</v>
      </c>
      <c r="F8" s="5">
        <v>0</v>
      </c>
      <c r="G8" s="5">
        <v>0</v>
      </c>
      <c r="H8" s="33">
        <f t="shared" si="0"/>
        <v>8</v>
      </c>
      <c r="I8" s="21"/>
    </row>
    <row r="9" spans="1:9" ht="22.5" customHeight="1" x14ac:dyDescent="0.25">
      <c r="A9" s="13" t="s">
        <v>21</v>
      </c>
      <c r="B9" s="5">
        <v>3</v>
      </c>
      <c r="C9" s="5">
        <v>5</v>
      </c>
      <c r="D9" s="5">
        <v>0</v>
      </c>
      <c r="E9" s="5">
        <v>0</v>
      </c>
      <c r="F9" s="5">
        <v>0</v>
      </c>
      <c r="G9" s="5">
        <v>0</v>
      </c>
      <c r="H9" s="25">
        <f t="shared" si="0"/>
        <v>8</v>
      </c>
      <c r="I9" s="21"/>
    </row>
    <row r="10" spans="1:9" ht="22.5" customHeight="1" x14ac:dyDescent="0.25">
      <c r="A10" s="13" t="s">
        <v>22</v>
      </c>
      <c r="B10" s="5">
        <v>8</v>
      </c>
      <c r="C10" s="5">
        <v>17</v>
      </c>
      <c r="D10" s="5">
        <v>1</v>
      </c>
      <c r="E10" s="5">
        <v>0</v>
      </c>
      <c r="F10" s="5">
        <v>0</v>
      </c>
      <c r="G10" s="5">
        <v>0</v>
      </c>
      <c r="H10" s="25">
        <f t="shared" si="0"/>
        <v>26</v>
      </c>
      <c r="I10" s="21"/>
    </row>
    <row r="11" spans="1:9" ht="22.5" customHeight="1" x14ac:dyDescent="0.25">
      <c r="A11" s="13" t="s">
        <v>9</v>
      </c>
      <c r="B11" s="5">
        <v>3</v>
      </c>
      <c r="C11" s="5">
        <v>2</v>
      </c>
      <c r="D11" s="5">
        <v>0</v>
      </c>
      <c r="E11" s="5">
        <v>0</v>
      </c>
      <c r="F11" s="5">
        <v>0</v>
      </c>
      <c r="G11" s="5">
        <v>0</v>
      </c>
      <c r="H11" s="25">
        <f t="shared" si="0"/>
        <v>5</v>
      </c>
      <c r="I11" s="21"/>
    </row>
    <row r="12" spans="1:9" ht="22.5" customHeight="1" x14ac:dyDescent="0.25">
      <c r="A12" s="13" t="s">
        <v>12</v>
      </c>
      <c r="B12" s="5">
        <v>7</v>
      </c>
      <c r="C12" s="5">
        <v>5</v>
      </c>
      <c r="D12" s="5">
        <v>0</v>
      </c>
      <c r="E12" s="5">
        <v>0</v>
      </c>
      <c r="F12" s="5">
        <v>0</v>
      </c>
      <c r="G12" s="5">
        <v>0</v>
      </c>
      <c r="H12" s="25">
        <f t="shared" si="0"/>
        <v>12</v>
      </c>
      <c r="I12" s="21"/>
    </row>
    <row r="13" spans="1:9" ht="22.5" customHeight="1" x14ac:dyDescent="0.25">
      <c r="A13" s="14" t="s">
        <v>14</v>
      </c>
      <c r="B13" s="7">
        <v>2</v>
      </c>
      <c r="C13" s="7">
        <v>0</v>
      </c>
      <c r="D13" s="7">
        <v>0</v>
      </c>
      <c r="E13" s="7">
        <v>0</v>
      </c>
      <c r="F13" s="7">
        <v>1</v>
      </c>
      <c r="G13" s="7">
        <v>5</v>
      </c>
      <c r="H13" s="25">
        <f t="shared" si="0"/>
        <v>8</v>
      </c>
      <c r="I13" s="22"/>
    </row>
    <row r="14" spans="1:9" ht="22.5" customHeight="1" x14ac:dyDescent="0.25">
      <c r="A14" s="14" t="s">
        <v>15</v>
      </c>
      <c r="B14" s="7">
        <v>5</v>
      </c>
      <c r="C14" s="7">
        <v>7</v>
      </c>
      <c r="D14" s="7">
        <v>0</v>
      </c>
      <c r="E14" s="7">
        <v>0</v>
      </c>
      <c r="F14" s="7">
        <v>0</v>
      </c>
      <c r="G14" s="7">
        <v>7</v>
      </c>
      <c r="H14" s="25">
        <f>SUM(B14:G14)</f>
        <v>19</v>
      </c>
      <c r="I14" s="22"/>
    </row>
    <row r="15" spans="1:9" ht="22.5" customHeight="1" x14ac:dyDescent="0.25">
      <c r="A15" s="14" t="s">
        <v>24</v>
      </c>
      <c r="B15" s="7">
        <v>7</v>
      </c>
      <c r="C15" s="7">
        <v>4</v>
      </c>
      <c r="D15" s="7">
        <v>0</v>
      </c>
      <c r="E15" s="7">
        <v>0</v>
      </c>
      <c r="F15" s="7">
        <v>0</v>
      </c>
      <c r="G15" s="7">
        <v>0</v>
      </c>
      <c r="H15" s="25">
        <f t="shared" si="0"/>
        <v>11</v>
      </c>
      <c r="I15" s="22"/>
    </row>
    <row r="16" spans="1:9" ht="22.5" customHeight="1" x14ac:dyDescent="0.25">
      <c r="A16" s="14" t="s">
        <v>25</v>
      </c>
      <c r="B16" s="7">
        <v>14</v>
      </c>
      <c r="C16" s="7">
        <v>13</v>
      </c>
      <c r="D16" s="7">
        <v>0</v>
      </c>
      <c r="E16" s="7">
        <v>0</v>
      </c>
      <c r="F16" s="7">
        <v>0</v>
      </c>
      <c r="G16" s="7">
        <v>0</v>
      </c>
      <c r="H16" s="25">
        <f t="shared" si="0"/>
        <v>27</v>
      </c>
      <c r="I16" s="22" t="s">
        <v>32</v>
      </c>
    </row>
    <row r="17" spans="1:9" ht="45" x14ac:dyDescent="0.25">
      <c r="A17" s="14" t="s">
        <v>27</v>
      </c>
      <c r="B17" s="7">
        <v>18</v>
      </c>
      <c r="C17" s="7">
        <v>16</v>
      </c>
      <c r="D17" s="32">
        <v>1</v>
      </c>
      <c r="E17" s="32">
        <v>2</v>
      </c>
      <c r="F17" s="7">
        <v>0</v>
      </c>
      <c r="G17" s="7">
        <v>1</v>
      </c>
      <c r="H17" s="25">
        <f>SUM(B17:G17)</f>
        <v>38</v>
      </c>
      <c r="I17" s="22" t="s">
        <v>42</v>
      </c>
    </row>
    <row r="18" spans="1:9" ht="30" x14ac:dyDescent="0.25">
      <c r="A18" s="14" t="s">
        <v>28</v>
      </c>
      <c r="B18" s="7">
        <v>6</v>
      </c>
      <c r="C18" s="7">
        <v>40</v>
      </c>
      <c r="D18" s="7">
        <v>0</v>
      </c>
      <c r="E18" s="7">
        <v>1</v>
      </c>
      <c r="F18" s="7">
        <v>0</v>
      </c>
      <c r="G18" s="7">
        <v>0</v>
      </c>
      <c r="H18" s="25">
        <f>SUM(B18:G18)</f>
        <v>47</v>
      </c>
      <c r="I18" s="22" t="s">
        <v>33</v>
      </c>
    </row>
    <row r="19" spans="1:9" ht="22.5" customHeight="1" x14ac:dyDescent="0.25">
      <c r="A19" s="28" t="s">
        <v>34</v>
      </c>
      <c r="B19" s="29">
        <v>0</v>
      </c>
      <c r="C19" s="29">
        <v>4</v>
      </c>
      <c r="D19" s="29">
        <v>0</v>
      </c>
      <c r="E19" s="29">
        <v>0</v>
      </c>
      <c r="F19" s="29">
        <v>0</v>
      </c>
      <c r="G19" s="29">
        <v>0</v>
      </c>
      <c r="H19" s="30">
        <f>SUM(B19:G19)</f>
        <v>4</v>
      </c>
      <c r="I19" s="31"/>
    </row>
    <row r="20" spans="1:9" ht="22.5" customHeight="1" thickBot="1" x14ac:dyDescent="0.3">
      <c r="A20" s="15" t="s">
        <v>16</v>
      </c>
      <c r="B20" s="8">
        <f t="shared" ref="B20:H20" si="1">SUM(B5:B19)</f>
        <v>107</v>
      </c>
      <c r="C20" s="8">
        <f t="shared" si="1"/>
        <v>165</v>
      </c>
      <c r="D20" s="8">
        <f t="shared" si="1"/>
        <v>2</v>
      </c>
      <c r="E20" s="8">
        <f t="shared" si="1"/>
        <v>4</v>
      </c>
      <c r="F20" s="8">
        <f t="shared" si="1"/>
        <v>4</v>
      </c>
      <c r="G20" s="8">
        <f t="shared" si="1"/>
        <v>15</v>
      </c>
      <c r="H20" s="27">
        <f t="shared" si="1"/>
        <v>297</v>
      </c>
      <c r="I20" s="23">
        <f>SUM(B20:G20)</f>
        <v>297</v>
      </c>
    </row>
    <row r="23" spans="1:9" x14ac:dyDescent="0.25">
      <c r="H23" s="1">
        <f>H20-'April 7'!H20</f>
        <v>0</v>
      </c>
      <c r="I23" t="s">
        <v>37</v>
      </c>
    </row>
    <row r="26" spans="1:9" x14ac:dyDescent="0.25">
      <c r="B26" s="1" t="s">
        <v>41</v>
      </c>
    </row>
  </sheetData>
  <mergeCells count="9">
    <mergeCell ref="G3:G4"/>
    <mergeCell ref="H3:H4"/>
    <mergeCell ref="I3:I4"/>
    <mergeCell ref="A3:A4"/>
    <mergeCell ref="B3:B4"/>
    <mergeCell ref="C3:C4"/>
    <mergeCell ref="D3:D4"/>
    <mergeCell ref="E3:E4"/>
    <mergeCell ref="F3:F4"/>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05D8CE-6934-4161-B198-2B3D310C65C2}">
  <sheetPr codeName="Sheet14"/>
  <dimension ref="A1:J26"/>
  <sheetViews>
    <sheetView workbookViewId="0">
      <selection activeCell="I5" sqref="I5:I19"/>
    </sheetView>
  </sheetViews>
  <sheetFormatPr defaultRowHeight="15" x14ac:dyDescent="0.25"/>
  <cols>
    <col min="1" max="1" width="30.85546875" style="12" customWidth="1"/>
    <col min="2" max="2" width="14.7109375" style="1" customWidth="1"/>
    <col min="3" max="8" width="10.7109375" style="1" customWidth="1"/>
    <col min="9" max="9" width="19.85546875" style="1" customWidth="1"/>
    <col min="10" max="10" width="44.7109375" customWidth="1"/>
  </cols>
  <sheetData>
    <row r="1" spans="1:10" x14ac:dyDescent="0.25">
      <c r="A1" s="12" t="s">
        <v>0</v>
      </c>
      <c r="B1" s="6">
        <v>43930</v>
      </c>
    </row>
    <row r="3" spans="1:10" ht="15" customHeight="1" x14ac:dyDescent="0.25">
      <c r="A3" s="49" t="s">
        <v>1</v>
      </c>
      <c r="B3" s="45" t="s">
        <v>2</v>
      </c>
      <c r="C3" s="45" t="s">
        <v>3</v>
      </c>
      <c r="D3" s="45" t="s">
        <v>4</v>
      </c>
      <c r="E3" s="45" t="s">
        <v>5</v>
      </c>
      <c r="F3" s="45" t="s">
        <v>6</v>
      </c>
      <c r="G3" s="45" t="s">
        <v>7</v>
      </c>
      <c r="H3" s="45" t="s">
        <v>16</v>
      </c>
      <c r="I3" s="51" t="s">
        <v>43</v>
      </c>
      <c r="J3" s="45" t="s">
        <v>8</v>
      </c>
    </row>
    <row r="4" spans="1:10" ht="15" customHeight="1" thickBot="1" x14ac:dyDescent="0.3">
      <c r="A4" s="50"/>
      <c r="B4" s="46"/>
      <c r="C4" s="46"/>
      <c r="D4" s="46"/>
      <c r="E4" s="46"/>
      <c r="F4" s="46"/>
      <c r="G4" s="46"/>
      <c r="H4" s="46"/>
      <c r="I4" s="52"/>
      <c r="J4" s="46"/>
    </row>
    <row r="5" spans="1:10" ht="22.5" customHeight="1" x14ac:dyDescent="0.25">
      <c r="A5" s="13" t="s">
        <v>17</v>
      </c>
      <c r="B5" s="5">
        <v>9</v>
      </c>
      <c r="C5" s="5">
        <v>19</v>
      </c>
      <c r="D5" s="5">
        <v>0</v>
      </c>
      <c r="E5" s="5">
        <v>1</v>
      </c>
      <c r="F5" s="5">
        <v>1</v>
      </c>
      <c r="G5" s="5">
        <v>0</v>
      </c>
      <c r="H5" s="25">
        <f t="shared" ref="H5:H16" si="0">SUM(B5:G5)</f>
        <v>30</v>
      </c>
      <c r="I5" s="35" t="s">
        <v>44</v>
      </c>
      <c r="J5" s="21" t="s">
        <v>38</v>
      </c>
    </row>
    <row r="6" spans="1:10" ht="22.5" customHeight="1" x14ac:dyDescent="0.25">
      <c r="A6" s="13" t="s">
        <v>19</v>
      </c>
      <c r="B6" s="5">
        <v>15</v>
      </c>
      <c r="C6" s="5">
        <v>27</v>
      </c>
      <c r="D6" s="5">
        <v>0</v>
      </c>
      <c r="E6" s="5">
        <v>0</v>
      </c>
      <c r="F6" s="5">
        <v>1</v>
      </c>
      <c r="G6" s="5">
        <v>2</v>
      </c>
      <c r="H6" s="33">
        <f t="shared" si="0"/>
        <v>45</v>
      </c>
      <c r="I6" s="38" t="s">
        <v>45</v>
      </c>
      <c r="J6" s="21"/>
    </row>
    <row r="7" spans="1:10" ht="22.5" customHeight="1" thickBot="1" x14ac:dyDescent="0.3">
      <c r="A7" s="13" t="s">
        <v>11</v>
      </c>
      <c r="B7" s="5">
        <v>6</v>
      </c>
      <c r="C7" s="5">
        <v>1</v>
      </c>
      <c r="D7" s="5">
        <v>0</v>
      </c>
      <c r="E7" s="5">
        <v>1</v>
      </c>
      <c r="F7" s="5">
        <v>1</v>
      </c>
      <c r="G7" s="5">
        <v>0</v>
      </c>
      <c r="H7" s="25">
        <f t="shared" si="0"/>
        <v>9</v>
      </c>
      <c r="I7" s="39" t="s">
        <v>44</v>
      </c>
      <c r="J7" s="16" t="s">
        <v>31</v>
      </c>
    </row>
    <row r="8" spans="1:10" ht="22.5" customHeight="1" x14ac:dyDescent="0.25">
      <c r="A8" s="13" t="s">
        <v>20</v>
      </c>
      <c r="B8" s="5">
        <v>1</v>
      </c>
      <c r="C8" s="5">
        <v>7</v>
      </c>
      <c r="D8" s="5">
        <v>0</v>
      </c>
      <c r="E8" s="5">
        <v>0</v>
      </c>
      <c r="F8" s="5">
        <v>0</v>
      </c>
      <c r="G8" s="5">
        <v>0</v>
      </c>
      <c r="H8" s="33">
        <f t="shared" si="0"/>
        <v>8</v>
      </c>
      <c r="I8" s="40" t="s">
        <v>44</v>
      </c>
      <c r="J8" s="21"/>
    </row>
    <row r="9" spans="1:10" ht="22.5" customHeight="1" x14ac:dyDescent="0.25">
      <c r="A9" s="13" t="s">
        <v>21</v>
      </c>
      <c r="B9" s="5">
        <v>2</v>
      </c>
      <c r="C9" s="5">
        <v>6</v>
      </c>
      <c r="D9" s="5">
        <v>0</v>
      </c>
      <c r="E9" s="5">
        <v>0</v>
      </c>
      <c r="F9" s="5">
        <v>0</v>
      </c>
      <c r="G9" s="5">
        <v>0</v>
      </c>
      <c r="H9" s="25">
        <f t="shared" si="0"/>
        <v>8</v>
      </c>
      <c r="I9" s="34" t="s">
        <v>44</v>
      </c>
      <c r="J9" s="21"/>
    </row>
    <row r="10" spans="1:10" ht="22.5" customHeight="1" x14ac:dyDescent="0.25">
      <c r="A10" s="13" t="s">
        <v>22</v>
      </c>
      <c r="B10" s="5">
        <v>10</v>
      </c>
      <c r="C10" s="5">
        <v>14</v>
      </c>
      <c r="D10" s="5">
        <v>1</v>
      </c>
      <c r="E10" s="5">
        <v>0</v>
      </c>
      <c r="F10" s="5">
        <v>0</v>
      </c>
      <c r="G10" s="5">
        <v>1</v>
      </c>
      <c r="H10" s="25">
        <f t="shared" si="0"/>
        <v>26</v>
      </c>
      <c r="I10" s="35" t="s">
        <v>44</v>
      </c>
      <c r="J10" s="21"/>
    </row>
    <row r="11" spans="1:10" ht="22.5" customHeight="1" x14ac:dyDescent="0.25">
      <c r="A11" s="13" t="s">
        <v>9</v>
      </c>
      <c r="B11" s="5">
        <v>1</v>
      </c>
      <c r="C11" s="5">
        <v>4</v>
      </c>
      <c r="D11" s="5">
        <v>0</v>
      </c>
      <c r="E11" s="5">
        <v>0</v>
      </c>
      <c r="F11" s="5">
        <v>0</v>
      </c>
      <c r="G11" s="5">
        <v>0</v>
      </c>
      <c r="H11" s="25">
        <f t="shared" si="0"/>
        <v>5</v>
      </c>
      <c r="I11" s="35" t="s">
        <v>44</v>
      </c>
      <c r="J11" s="21"/>
    </row>
    <row r="12" spans="1:10" ht="22.5" customHeight="1" x14ac:dyDescent="0.25">
      <c r="A12" s="13" t="s">
        <v>12</v>
      </c>
      <c r="B12" s="5">
        <v>7</v>
      </c>
      <c r="C12" s="5">
        <v>5</v>
      </c>
      <c r="D12" s="5">
        <v>0</v>
      </c>
      <c r="E12" s="5">
        <v>0</v>
      </c>
      <c r="F12" s="5">
        <v>0</v>
      </c>
      <c r="G12" s="5">
        <v>0</v>
      </c>
      <c r="H12" s="25">
        <f t="shared" si="0"/>
        <v>12</v>
      </c>
      <c r="I12" s="34" t="s">
        <v>44</v>
      </c>
      <c r="J12" s="21"/>
    </row>
    <row r="13" spans="1:10" ht="22.5" customHeight="1" x14ac:dyDescent="0.25">
      <c r="A13" s="14" t="s">
        <v>14</v>
      </c>
      <c r="B13" s="7">
        <v>1</v>
      </c>
      <c r="C13" s="7">
        <v>1</v>
      </c>
      <c r="D13" s="7">
        <v>0</v>
      </c>
      <c r="E13" s="7">
        <v>0</v>
      </c>
      <c r="F13" s="7">
        <v>1</v>
      </c>
      <c r="G13" s="7">
        <v>5</v>
      </c>
      <c r="H13" s="25">
        <f t="shared" si="0"/>
        <v>8</v>
      </c>
      <c r="I13" s="35" t="s">
        <v>44</v>
      </c>
      <c r="J13" s="22"/>
    </row>
    <row r="14" spans="1:10" ht="22.5" customHeight="1" x14ac:dyDescent="0.25">
      <c r="A14" s="14" t="s">
        <v>15</v>
      </c>
      <c r="B14" s="7">
        <v>6</v>
      </c>
      <c r="C14" s="7">
        <v>7</v>
      </c>
      <c r="D14" s="7">
        <v>0</v>
      </c>
      <c r="E14" s="7">
        <v>0</v>
      </c>
      <c r="F14" s="7">
        <v>0</v>
      </c>
      <c r="G14" s="7">
        <v>6</v>
      </c>
      <c r="H14" s="25">
        <f>SUM(B14:G14)</f>
        <v>19</v>
      </c>
      <c r="I14" s="35" t="s">
        <v>44</v>
      </c>
      <c r="J14" s="22"/>
    </row>
    <row r="15" spans="1:10" ht="22.5" customHeight="1" x14ac:dyDescent="0.25">
      <c r="A15" s="14" t="s">
        <v>24</v>
      </c>
      <c r="B15" s="7">
        <v>6</v>
      </c>
      <c r="C15" s="7">
        <v>5</v>
      </c>
      <c r="D15" s="7">
        <v>0</v>
      </c>
      <c r="E15" s="7">
        <v>0</v>
      </c>
      <c r="F15" s="7">
        <v>0</v>
      </c>
      <c r="G15" s="7">
        <v>0</v>
      </c>
      <c r="H15" s="25">
        <f t="shared" si="0"/>
        <v>11</v>
      </c>
      <c r="I15" s="35" t="s">
        <v>44</v>
      </c>
      <c r="J15" s="22"/>
    </row>
    <row r="16" spans="1:10" ht="22.5" customHeight="1" x14ac:dyDescent="0.25">
      <c r="A16" s="14" t="s">
        <v>25</v>
      </c>
      <c r="B16" s="7">
        <v>15</v>
      </c>
      <c r="C16" s="7">
        <v>12</v>
      </c>
      <c r="D16" s="7">
        <v>0</v>
      </c>
      <c r="E16" s="7">
        <v>0</v>
      </c>
      <c r="F16" s="7">
        <v>0</v>
      </c>
      <c r="G16" s="7">
        <v>0</v>
      </c>
      <c r="H16" s="25">
        <f t="shared" si="0"/>
        <v>27</v>
      </c>
      <c r="I16" s="34" t="s">
        <v>44</v>
      </c>
      <c r="J16" s="22" t="s">
        <v>32</v>
      </c>
    </row>
    <row r="17" spans="1:10" x14ac:dyDescent="0.25">
      <c r="A17" s="14" t="s">
        <v>27</v>
      </c>
      <c r="B17" s="7">
        <v>20</v>
      </c>
      <c r="C17" s="7">
        <v>16</v>
      </c>
      <c r="D17" s="7">
        <v>0</v>
      </c>
      <c r="E17" s="32">
        <v>2</v>
      </c>
      <c r="F17" s="7">
        <v>0</v>
      </c>
      <c r="G17" s="7">
        <v>0</v>
      </c>
      <c r="H17" s="25">
        <f>SUM(B17:G17)</f>
        <v>38</v>
      </c>
      <c r="I17" s="35" t="s">
        <v>44</v>
      </c>
      <c r="J17" s="22" t="s">
        <v>32</v>
      </c>
    </row>
    <row r="18" spans="1:10" ht="30" x14ac:dyDescent="0.25">
      <c r="A18" s="14" t="s">
        <v>28</v>
      </c>
      <c r="B18" s="7">
        <v>7</v>
      </c>
      <c r="C18" s="7">
        <v>40</v>
      </c>
      <c r="D18" s="7">
        <v>0</v>
      </c>
      <c r="E18" s="7">
        <v>0</v>
      </c>
      <c r="F18" s="7">
        <v>0</v>
      </c>
      <c r="G18" s="7">
        <v>0</v>
      </c>
      <c r="H18" s="25">
        <f>SUM(B18:G18)</f>
        <v>47</v>
      </c>
      <c r="I18" s="35" t="s">
        <v>44</v>
      </c>
      <c r="J18" s="22" t="s">
        <v>33</v>
      </c>
    </row>
    <row r="19" spans="1:10" ht="22.5" customHeight="1" x14ac:dyDescent="0.25">
      <c r="A19" s="28" t="s">
        <v>34</v>
      </c>
      <c r="B19" s="29">
        <v>0</v>
      </c>
      <c r="C19" s="29">
        <v>4</v>
      </c>
      <c r="D19" s="29">
        <v>0</v>
      </c>
      <c r="E19" s="29">
        <v>0</v>
      </c>
      <c r="F19" s="29">
        <v>0</v>
      </c>
      <c r="G19" s="29">
        <v>0</v>
      </c>
      <c r="H19" s="30">
        <f>SUM(B19:G19)</f>
        <v>4</v>
      </c>
      <c r="I19" s="36" t="s">
        <v>44</v>
      </c>
      <c r="J19" s="31"/>
    </row>
    <row r="20" spans="1:10" ht="22.5" customHeight="1" thickBot="1" x14ac:dyDescent="0.3">
      <c r="A20" s="15" t="s">
        <v>16</v>
      </c>
      <c r="B20" s="8">
        <f t="shared" ref="B20:H20" si="1">SUM(B5:B19)</f>
        <v>106</v>
      </c>
      <c r="C20" s="8">
        <f t="shared" si="1"/>
        <v>168</v>
      </c>
      <c r="D20" s="8">
        <f t="shared" si="1"/>
        <v>1</v>
      </c>
      <c r="E20" s="8">
        <f t="shared" si="1"/>
        <v>4</v>
      </c>
      <c r="F20" s="8">
        <f t="shared" si="1"/>
        <v>4</v>
      </c>
      <c r="G20" s="8">
        <f t="shared" si="1"/>
        <v>14</v>
      </c>
      <c r="H20" s="27">
        <f t="shared" si="1"/>
        <v>297</v>
      </c>
      <c r="I20" s="37"/>
      <c r="J20" s="23">
        <f>SUM(B20:G20)</f>
        <v>297</v>
      </c>
    </row>
    <row r="23" spans="1:10" x14ac:dyDescent="0.25">
      <c r="H23" s="1">
        <f>+H20-'April 8'!H20</f>
        <v>0</v>
      </c>
      <c r="J23" t="s">
        <v>37</v>
      </c>
    </row>
    <row r="26" spans="1:10" x14ac:dyDescent="0.25">
      <c r="B26" s="1" t="s">
        <v>41</v>
      </c>
    </row>
  </sheetData>
  <mergeCells count="10">
    <mergeCell ref="G3:G4"/>
    <mergeCell ref="H3:H4"/>
    <mergeCell ref="J3:J4"/>
    <mergeCell ref="A3:A4"/>
    <mergeCell ref="B3:B4"/>
    <mergeCell ref="C3:C4"/>
    <mergeCell ref="D3:D4"/>
    <mergeCell ref="E3:E4"/>
    <mergeCell ref="F3:F4"/>
    <mergeCell ref="I3:I4"/>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7BE14-E71F-40FC-8F97-1F4AFCAC57FA}">
  <sheetPr codeName="Sheet15"/>
  <dimension ref="A1:J26"/>
  <sheetViews>
    <sheetView workbookViewId="0">
      <selection activeCell="J9" sqref="J9"/>
    </sheetView>
  </sheetViews>
  <sheetFormatPr defaultRowHeight="15" x14ac:dyDescent="0.25"/>
  <cols>
    <col min="1" max="1" width="30.85546875" style="12" customWidth="1"/>
    <col min="2" max="2" width="14.7109375" style="1" customWidth="1"/>
    <col min="3" max="8" width="10.7109375" style="1" customWidth="1"/>
    <col min="9" max="9" width="19.85546875" style="1" customWidth="1"/>
    <col min="10" max="10" width="44.7109375" customWidth="1"/>
  </cols>
  <sheetData>
    <row r="1" spans="1:10" x14ac:dyDescent="0.25">
      <c r="A1" s="12" t="s">
        <v>0</v>
      </c>
      <c r="B1" s="6">
        <v>43931</v>
      </c>
    </row>
    <row r="3" spans="1:10" ht="15" customHeight="1" x14ac:dyDescent="0.25">
      <c r="A3" s="49" t="s">
        <v>1</v>
      </c>
      <c r="B3" s="45" t="s">
        <v>2</v>
      </c>
      <c r="C3" s="45" t="s">
        <v>3</v>
      </c>
      <c r="D3" s="45" t="s">
        <v>4</v>
      </c>
      <c r="E3" s="45" t="s">
        <v>5</v>
      </c>
      <c r="F3" s="45" t="s">
        <v>6</v>
      </c>
      <c r="G3" s="45" t="s">
        <v>7</v>
      </c>
      <c r="H3" s="45" t="s">
        <v>16</v>
      </c>
      <c r="I3" s="51" t="s">
        <v>43</v>
      </c>
      <c r="J3" s="45" t="s">
        <v>8</v>
      </c>
    </row>
    <row r="4" spans="1:10" ht="15" customHeight="1" thickBot="1" x14ac:dyDescent="0.3">
      <c r="A4" s="50"/>
      <c r="B4" s="46"/>
      <c r="C4" s="46"/>
      <c r="D4" s="46"/>
      <c r="E4" s="46"/>
      <c r="F4" s="46"/>
      <c r="G4" s="46"/>
      <c r="H4" s="46"/>
      <c r="I4" s="52"/>
      <c r="J4" s="46"/>
    </row>
    <row r="5" spans="1:10" ht="22.5" customHeight="1" x14ac:dyDescent="0.25">
      <c r="A5" s="13" t="s">
        <v>17</v>
      </c>
      <c r="B5" s="5">
        <v>9</v>
      </c>
      <c r="C5" s="5">
        <v>17</v>
      </c>
      <c r="D5" s="5">
        <v>0</v>
      </c>
      <c r="E5" s="5">
        <v>0</v>
      </c>
      <c r="F5" s="5">
        <v>1</v>
      </c>
      <c r="G5" s="5">
        <v>3</v>
      </c>
      <c r="H5" s="25">
        <f t="shared" ref="H5:H15" si="0">SUM(B5:G5)</f>
        <v>30</v>
      </c>
      <c r="I5" s="35" t="s">
        <v>44</v>
      </c>
      <c r="J5" s="21" t="s">
        <v>38</v>
      </c>
    </row>
    <row r="6" spans="1:10" ht="22.5" customHeight="1" x14ac:dyDescent="0.25">
      <c r="A6" s="13" t="s">
        <v>19</v>
      </c>
      <c r="B6" s="5">
        <v>17</v>
      </c>
      <c r="C6" s="5">
        <v>20</v>
      </c>
      <c r="D6" s="5">
        <v>0</v>
      </c>
      <c r="E6" s="5">
        <v>0</v>
      </c>
      <c r="F6" s="5">
        <v>6</v>
      </c>
      <c r="G6" s="5">
        <v>2</v>
      </c>
      <c r="H6" s="25">
        <f t="shared" si="0"/>
        <v>45</v>
      </c>
      <c r="I6" s="38" t="s">
        <v>45</v>
      </c>
      <c r="J6" s="21"/>
    </row>
    <row r="7" spans="1:10" ht="22.5" customHeight="1" thickBot="1" x14ac:dyDescent="0.3">
      <c r="A7" s="13" t="s">
        <v>11</v>
      </c>
      <c r="B7" s="5">
        <v>7</v>
      </c>
      <c r="C7" s="5">
        <v>0</v>
      </c>
      <c r="D7" s="5">
        <v>0</v>
      </c>
      <c r="E7" s="5">
        <v>1</v>
      </c>
      <c r="F7" s="5">
        <v>1</v>
      </c>
      <c r="G7" s="5">
        <v>0</v>
      </c>
      <c r="H7" s="25">
        <f t="shared" si="0"/>
        <v>9</v>
      </c>
      <c r="I7" s="39" t="s">
        <v>44</v>
      </c>
      <c r="J7" s="16" t="s">
        <v>31</v>
      </c>
    </row>
    <row r="8" spans="1:10" ht="22.5" customHeight="1" x14ac:dyDescent="0.25">
      <c r="A8" s="13" t="s">
        <v>20</v>
      </c>
      <c r="B8" s="5">
        <v>2</v>
      </c>
      <c r="C8" s="5">
        <v>5</v>
      </c>
      <c r="D8" s="5">
        <v>0</v>
      </c>
      <c r="E8" s="5">
        <v>0</v>
      </c>
      <c r="F8" s="5">
        <v>0</v>
      </c>
      <c r="G8" s="5">
        <v>1</v>
      </c>
      <c r="H8" s="25">
        <f t="shared" si="0"/>
        <v>8</v>
      </c>
      <c r="I8" s="40" t="s">
        <v>44</v>
      </c>
      <c r="J8" s="21"/>
    </row>
    <row r="9" spans="1:10" ht="30" x14ac:dyDescent="0.25">
      <c r="A9" s="13" t="s">
        <v>21</v>
      </c>
      <c r="B9" s="5">
        <v>3</v>
      </c>
      <c r="C9" s="5">
        <v>4</v>
      </c>
      <c r="D9" s="5">
        <v>1</v>
      </c>
      <c r="E9" s="5">
        <v>0</v>
      </c>
      <c r="F9" s="5">
        <v>0</v>
      </c>
      <c r="G9" s="5">
        <v>0</v>
      </c>
      <c r="H9" s="25">
        <f t="shared" si="0"/>
        <v>8</v>
      </c>
      <c r="I9" s="35" t="s">
        <v>44</v>
      </c>
      <c r="J9" s="21" t="s">
        <v>46</v>
      </c>
    </row>
    <row r="10" spans="1:10" ht="22.5" customHeight="1" x14ac:dyDescent="0.25">
      <c r="A10" s="13" t="s">
        <v>22</v>
      </c>
      <c r="B10" s="5">
        <v>6</v>
      </c>
      <c r="C10" s="5">
        <v>18</v>
      </c>
      <c r="D10" s="5">
        <v>1</v>
      </c>
      <c r="E10" s="5">
        <v>0</v>
      </c>
      <c r="F10" s="5">
        <v>0</v>
      </c>
      <c r="G10" s="5">
        <v>1</v>
      </c>
      <c r="H10" s="25">
        <f t="shared" si="0"/>
        <v>26</v>
      </c>
      <c r="I10" s="35" t="s">
        <v>44</v>
      </c>
      <c r="J10" s="21"/>
    </row>
    <row r="11" spans="1:10" ht="22.5" customHeight="1" x14ac:dyDescent="0.25">
      <c r="A11" s="13" t="s">
        <v>9</v>
      </c>
      <c r="B11" s="5">
        <v>0</v>
      </c>
      <c r="C11" s="5">
        <v>5</v>
      </c>
      <c r="D11" s="5">
        <v>0</v>
      </c>
      <c r="E11" s="5">
        <v>0</v>
      </c>
      <c r="F11" s="5">
        <v>0</v>
      </c>
      <c r="G11" s="5">
        <v>0</v>
      </c>
      <c r="H11" s="25">
        <f t="shared" si="0"/>
        <v>5</v>
      </c>
      <c r="I11" s="35" t="s">
        <v>44</v>
      </c>
      <c r="J11" s="21"/>
    </row>
    <row r="12" spans="1:10" ht="22.5" customHeight="1" x14ac:dyDescent="0.25">
      <c r="A12" s="13" t="s">
        <v>12</v>
      </c>
      <c r="B12" s="5">
        <v>6</v>
      </c>
      <c r="C12" s="5">
        <v>4</v>
      </c>
      <c r="D12" s="5">
        <v>0</v>
      </c>
      <c r="E12" s="5">
        <v>0</v>
      </c>
      <c r="F12" s="5">
        <v>0</v>
      </c>
      <c r="G12" s="5">
        <v>2</v>
      </c>
      <c r="H12" s="25">
        <f t="shared" si="0"/>
        <v>12</v>
      </c>
      <c r="I12" s="35" t="s">
        <v>44</v>
      </c>
      <c r="J12" s="21"/>
    </row>
    <row r="13" spans="1:10" ht="22.5" customHeight="1" x14ac:dyDescent="0.25">
      <c r="A13" s="14" t="s">
        <v>14</v>
      </c>
      <c r="B13" s="7">
        <v>2</v>
      </c>
      <c r="C13" s="7">
        <v>0</v>
      </c>
      <c r="D13" s="7">
        <v>0</v>
      </c>
      <c r="E13" s="7">
        <v>0</v>
      </c>
      <c r="F13" s="7">
        <v>1</v>
      </c>
      <c r="G13" s="7">
        <v>5</v>
      </c>
      <c r="H13" s="25">
        <f t="shared" si="0"/>
        <v>8</v>
      </c>
      <c r="I13" s="35" t="s">
        <v>44</v>
      </c>
      <c r="J13" s="22"/>
    </row>
    <row r="14" spans="1:10" ht="22.5" customHeight="1" x14ac:dyDescent="0.25">
      <c r="A14" s="14" t="s">
        <v>15</v>
      </c>
      <c r="B14" s="7">
        <v>7</v>
      </c>
      <c r="C14" s="7">
        <v>1</v>
      </c>
      <c r="D14" s="7">
        <v>0</v>
      </c>
      <c r="E14" s="7">
        <v>0</v>
      </c>
      <c r="F14" s="7">
        <v>1</v>
      </c>
      <c r="G14" s="7">
        <v>10</v>
      </c>
      <c r="H14" s="25">
        <f t="shared" si="0"/>
        <v>19</v>
      </c>
      <c r="I14" s="35" t="s">
        <v>44</v>
      </c>
      <c r="J14" s="22"/>
    </row>
    <row r="15" spans="1:10" ht="22.5" customHeight="1" x14ac:dyDescent="0.25">
      <c r="A15" s="14" t="s">
        <v>24</v>
      </c>
      <c r="B15" s="7">
        <v>6</v>
      </c>
      <c r="C15" s="7">
        <v>3</v>
      </c>
      <c r="D15" s="7">
        <v>0</v>
      </c>
      <c r="E15" s="7">
        <v>0</v>
      </c>
      <c r="F15" s="7">
        <v>0</v>
      </c>
      <c r="G15" s="7">
        <v>2</v>
      </c>
      <c r="H15" s="25">
        <f t="shared" si="0"/>
        <v>11</v>
      </c>
      <c r="I15" s="35" t="s">
        <v>44</v>
      </c>
      <c r="J15" s="22"/>
    </row>
    <row r="16" spans="1:10" ht="22.5" customHeight="1" x14ac:dyDescent="0.25">
      <c r="A16" s="14" t="s">
        <v>25</v>
      </c>
      <c r="B16" s="7">
        <v>14</v>
      </c>
      <c r="C16" s="7">
        <v>13</v>
      </c>
      <c r="D16" s="7">
        <v>0</v>
      </c>
      <c r="E16" s="7">
        <v>0</v>
      </c>
      <c r="F16" s="7">
        <v>0</v>
      </c>
      <c r="G16" s="7">
        <v>0</v>
      </c>
      <c r="H16" s="25">
        <f>SUM(B16:G16)</f>
        <v>27</v>
      </c>
      <c r="I16" s="34" t="s">
        <v>44</v>
      </c>
      <c r="J16" s="22" t="s">
        <v>32</v>
      </c>
    </row>
    <row r="17" spans="1:10" x14ac:dyDescent="0.25">
      <c r="A17" s="14" t="s">
        <v>27</v>
      </c>
      <c r="B17" s="7">
        <v>19</v>
      </c>
      <c r="C17" s="7">
        <v>16</v>
      </c>
      <c r="D17" s="7">
        <v>0</v>
      </c>
      <c r="E17" s="32">
        <v>2</v>
      </c>
      <c r="F17" s="7">
        <v>1</v>
      </c>
      <c r="G17" s="7">
        <v>0</v>
      </c>
      <c r="H17" s="25">
        <f t="shared" ref="H17:H19" si="1">SUM(B17:G17)</f>
        <v>38</v>
      </c>
      <c r="I17" s="35" t="s">
        <v>44</v>
      </c>
      <c r="J17" s="22" t="s">
        <v>32</v>
      </c>
    </row>
    <row r="18" spans="1:10" ht="30" x14ac:dyDescent="0.25">
      <c r="A18" s="14" t="s">
        <v>28</v>
      </c>
      <c r="B18" s="7">
        <v>7</v>
      </c>
      <c r="C18" s="7">
        <v>40</v>
      </c>
      <c r="D18" s="7">
        <v>0</v>
      </c>
      <c r="E18" s="7">
        <v>0</v>
      </c>
      <c r="F18" s="7">
        <v>0</v>
      </c>
      <c r="G18" s="7">
        <v>0</v>
      </c>
      <c r="H18" s="25">
        <f t="shared" si="1"/>
        <v>47</v>
      </c>
      <c r="I18" s="35" t="s">
        <v>44</v>
      </c>
      <c r="J18" s="22" t="s">
        <v>33</v>
      </c>
    </row>
    <row r="19" spans="1:10" ht="22.5" customHeight="1" x14ac:dyDescent="0.25">
      <c r="A19" s="28" t="s">
        <v>34</v>
      </c>
      <c r="B19" s="29">
        <v>0</v>
      </c>
      <c r="C19" s="29">
        <v>4</v>
      </c>
      <c r="D19" s="29">
        <v>0</v>
      </c>
      <c r="E19" s="29">
        <v>0</v>
      </c>
      <c r="F19" s="29">
        <v>0</v>
      </c>
      <c r="G19" s="29">
        <v>0</v>
      </c>
      <c r="H19" s="25">
        <f t="shared" si="1"/>
        <v>4</v>
      </c>
      <c r="I19" s="36" t="s">
        <v>44</v>
      </c>
      <c r="J19" s="31"/>
    </row>
    <row r="20" spans="1:10" ht="22.5" customHeight="1" thickBot="1" x14ac:dyDescent="0.3">
      <c r="A20" s="15" t="s">
        <v>16</v>
      </c>
      <c r="B20" s="8">
        <f t="shared" ref="B20:H20" si="2">SUM(B5:B19)</f>
        <v>105</v>
      </c>
      <c r="C20" s="8">
        <f t="shared" si="2"/>
        <v>150</v>
      </c>
      <c r="D20" s="8">
        <f t="shared" si="2"/>
        <v>2</v>
      </c>
      <c r="E20" s="8">
        <f t="shared" si="2"/>
        <v>3</v>
      </c>
      <c r="F20" s="8">
        <f t="shared" si="2"/>
        <v>11</v>
      </c>
      <c r="G20" s="8">
        <f t="shared" si="2"/>
        <v>26</v>
      </c>
      <c r="H20" s="27">
        <f t="shared" si="2"/>
        <v>297</v>
      </c>
      <c r="I20" s="37"/>
      <c r="J20" s="23">
        <f>SUM(B20:G20)</f>
        <v>297</v>
      </c>
    </row>
    <row r="23" spans="1:10" x14ac:dyDescent="0.25">
      <c r="H23" s="1">
        <f>+H20-'April 9'!H20</f>
        <v>0</v>
      </c>
      <c r="J23" t="s">
        <v>37</v>
      </c>
    </row>
    <row r="26" spans="1:10" x14ac:dyDescent="0.25">
      <c r="B26" s="1" t="s">
        <v>41</v>
      </c>
    </row>
  </sheetData>
  <mergeCells count="10">
    <mergeCell ref="J3:J4"/>
    <mergeCell ref="G3:G4"/>
    <mergeCell ref="H3:H4"/>
    <mergeCell ref="I3:I4"/>
    <mergeCell ref="A3:A4"/>
    <mergeCell ref="B3:B4"/>
    <mergeCell ref="C3:C4"/>
    <mergeCell ref="D3:D4"/>
    <mergeCell ref="E3:E4"/>
    <mergeCell ref="F3:F4"/>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F353E0-A9E2-43DF-BC54-1C12C7A91D5D}">
  <sheetPr codeName="Sheet16"/>
  <dimension ref="A1:J26"/>
  <sheetViews>
    <sheetView workbookViewId="0">
      <selection activeCell="I3" sqref="I3:I4"/>
    </sheetView>
  </sheetViews>
  <sheetFormatPr defaultRowHeight="15" x14ac:dyDescent="0.25"/>
  <cols>
    <col min="1" max="1" width="30.85546875" style="12" customWidth="1"/>
    <col min="2" max="2" width="14.7109375" style="1" customWidth="1"/>
    <col min="3" max="8" width="10.7109375" style="1" customWidth="1"/>
    <col min="9" max="9" width="19.85546875" style="1" customWidth="1"/>
    <col min="10" max="10" width="44.7109375" customWidth="1"/>
  </cols>
  <sheetData>
    <row r="1" spans="1:10" x14ac:dyDescent="0.25">
      <c r="A1" s="12" t="s">
        <v>0</v>
      </c>
      <c r="B1" s="6">
        <v>43934</v>
      </c>
    </row>
    <row r="3" spans="1:10" ht="15" customHeight="1" x14ac:dyDescent="0.25">
      <c r="A3" s="49" t="s">
        <v>1</v>
      </c>
      <c r="B3" s="45" t="s">
        <v>2</v>
      </c>
      <c r="C3" s="45" t="s">
        <v>3</v>
      </c>
      <c r="D3" s="45" t="s">
        <v>4</v>
      </c>
      <c r="E3" s="45" t="s">
        <v>5</v>
      </c>
      <c r="F3" s="45" t="s">
        <v>6</v>
      </c>
      <c r="G3" s="45" t="s">
        <v>7</v>
      </c>
      <c r="H3" s="45" t="s">
        <v>16</v>
      </c>
      <c r="I3" s="51" t="s">
        <v>43</v>
      </c>
      <c r="J3" s="45" t="s">
        <v>8</v>
      </c>
    </row>
    <row r="4" spans="1:10" ht="15" customHeight="1" x14ac:dyDescent="0.25">
      <c r="A4" s="50"/>
      <c r="B4" s="46"/>
      <c r="C4" s="46"/>
      <c r="D4" s="46"/>
      <c r="E4" s="46"/>
      <c r="F4" s="46"/>
      <c r="G4" s="46"/>
      <c r="H4" s="46"/>
      <c r="I4" s="52"/>
      <c r="J4" s="46"/>
    </row>
    <row r="5" spans="1:10" ht="45" x14ac:dyDescent="0.25">
      <c r="A5" s="13" t="s">
        <v>17</v>
      </c>
      <c r="B5" s="5">
        <v>7</v>
      </c>
      <c r="C5" s="5">
        <v>22</v>
      </c>
      <c r="D5" s="5">
        <v>0</v>
      </c>
      <c r="E5" s="5">
        <v>0</v>
      </c>
      <c r="F5" s="5">
        <v>1</v>
      </c>
      <c r="G5" s="5">
        <v>0</v>
      </c>
      <c r="H5" s="25">
        <f t="shared" ref="H5:H15" si="0">SUM(B5:G5)</f>
        <v>30</v>
      </c>
      <c r="I5" s="35" t="s">
        <v>44</v>
      </c>
      <c r="J5" s="21" t="s">
        <v>47</v>
      </c>
    </row>
    <row r="6" spans="1:10" ht="60" x14ac:dyDescent="0.25">
      <c r="A6" s="13" t="s">
        <v>19</v>
      </c>
      <c r="B6" s="5">
        <v>16</v>
      </c>
      <c r="C6" s="5">
        <v>21</v>
      </c>
      <c r="D6" s="5">
        <v>2</v>
      </c>
      <c r="E6" s="5">
        <v>0</v>
      </c>
      <c r="F6" s="5">
        <v>2</v>
      </c>
      <c r="G6" s="5">
        <v>4</v>
      </c>
      <c r="H6" s="25">
        <f t="shared" si="0"/>
        <v>45</v>
      </c>
      <c r="I6" s="38" t="s">
        <v>45</v>
      </c>
      <c r="J6" s="21" t="s">
        <v>48</v>
      </c>
    </row>
    <row r="7" spans="1:10" ht="22.5" customHeight="1" thickBot="1" x14ac:dyDescent="0.3">
      <c r="A7" s="13" t="s">
        <v>11</v>
      </c>
      <c r="B7" s="5">
        <v>7</v>
      </c>
      <c r="C7" s="5">
        <v>1</v>
      </c>
      <c r="D7" s="5">
        <v>0</v>
      </c>
      <c r="E7" s="5">
        <v>1</v>
      </c>
      <c r="F7" s="5">
        <v>0</v>
      </c>
      <c r="G7" s="5">
        <v>0</v>
      </c>
      <c r="H7" s="25">
        <f t="shared" si="0"/>
        <v>9</v>
      </c>
      <c r="I7" s="39" t="s">
        <v>44</v>
      </c>
      <c r="J7" s="16" t="s">
        <v>31</v>
      </c>
    </row>
    <row r="8" spans="1:10" ht="22.5" customHeight="1" x14ac:dyDescent="0.25">
      <c r="A8" s="13" t="s">
        <v>20</v>
      </c>
      <c r="B8" s="5">
        <v>2</v>
      </c>
      <c r="C8" s="5">
        <v>4</v>
      </c>
      <c r="D8" s="5">
        <v>0</v>
      </c>
      <c r="E8" s="5">
        <v>0</v>
      </c>
      <c r="F8" s="5">
        <v>0</v>
      </c>
      <c r="G8" s="5">
        <v>2</v>
      </c>
      <c r="H8" s="25">
        <f t="shared" si="0"/>
        <v>8</v>
      </c>
      <c r="I8" s="40" t="s">
        <v>44</v>
      </c>
      <c r="J8" s="21"/>
    </row>
    <row r="9" spans="1:10" ht="30" x14ac:dyDescent="0.25">
      <c r="A9" s="13" t="s">
        <v>21</v>
      </c>
      <c r="B9" s="5">
        <v>2</v>
      </c>
      <c r="C9" s="5">
        <v>4</v>
      </c>
      <c r="D9" s="5">
        <v>1</v>
      </c>
      <c r="E9" s="5">
        <v>0</v>
      </c>
      <c r="F9" s="5">
        <v>1</v>
      </c>
      <c r="G9" s="5">
        <v>0</v>
      </c>
      <c r="H9" s="25">
        <f t="shared" si="0"/>
        <v>8</v>
      </c>
      <c r="I9" s="35" t="s">
        <v>44</v>
      </c>
      <c r="J9" s="21" t="s">
        <v>46</v>
      </c>
    </row>
    <row r="10" spans="1:10" ht="22.5" customHeight="1" x14ac:dyDescent="0.25">
      <c r="A10" s="13" t="s">
        <v>22</v>
      </c>
      <c r="B10" s="5">
        <v>10</v>
      </c>
      <c r="C10" s="5">
        <v>14</v>
      </c>
      <c r="D10" s="5">
        <v>1</v>
      </c>
      <c r="E10" s="5">
        <v>0</v>
      </c>
      <c r="F10" s="5">
        <v>0</v>
      </c>
      <c r="G10" s="5">
        <v>1</v>
      </c>
      <c r="H10" s="25">
        <f t="shared" si="0"/>
        <v>26</v>
      </c>
      <c r="I10" s="35" t="s">
        <v>44</v>
      </c>
      <c r="J10" s="21"/>
    </row>
    <row r="11" spans="1:10" ht="22.5" customHeight="1" x14ac:dyDescent="0.25">
      <c r="A11" s="13" t="s">
        <v>9</v>
      </c>
      <c r="B11" s="5">
        <v>3</v>
      </c>
      <c r="C11" s="5">
        <v>2</v>
      </c>
      <c r="D11" s="5">
        <v>0</v>
      </c>
      <c r="E11" s="5">
        <v>0</v>
      </c>
      <c r="F11" s="5">
        <v>0</v>
      </c>
      <c r="G11" s="5">
        <v>0</v>
      </c>
      <c r="H11" s="25">
        <f t="shared" si="0"/>
        <v>5</v>
      </c>
      <c r="I11" s="35" t="s">
        <v>44</v>
      </c>
      <c r="J11" s="21"/>
    </row>
    <row r="12" spans="1:10" ht="22.5" customHeight="1" x14ac:dyDescent="0.25">
      <c r="A12" s="13" t="s">
        <v>12</v>
      </c>
      <c r="B12" s="5">
        <v>7</v>
      </c>
      <c r="C12" s="5">
        <v>4</v>
      </c>
      <c r="D12" s="5">
        <v>0</v>
      </c>
      <c r="E12" s="5">
        <v>0</v>
      </c>
      <c r="F12" s="5">
        <v>0</v>
      </c>
      <c r="G12" s="5">
        <v>1</v>
      </c>
      <c r="H12" s="25">
        <f t="shared" si="0"/>
        <v>12</v>
      </c>
      <c r="I12" s="35" t="s">
        <v>44</v>
      </c>
      <c r="J12" s="21"/>
    </row>
    <row r="13" spans="1:10" ht="22.5" customHeight="1" x14ac:dyDescent="0.25">
      <c r="A13" s="14" t="s">
        <v>14</v>
      </c>
      <c r="B13" s="7">
        <v>2</v>
      </c>
      <c r="C13" s="7">
        <v>1</v>
      </c>
      <c r="D13" s="7">
        <v>0</v>
      </c>
      <c r="E13" s="7">
        <v>0</v>
      </c>
      <c r="F13" s="7">
        <v>0</v>
      </c>
      <c r="G13" s="7">
        <v>5</v>
      </c>
      <c r="H13" s="25">
        <f t="shared" si="0"/>
        <v>8</v>
      </c>
      <c r="I13" s="35" t="s">
        <v>44</v>
      </c>
      <c r="J13" s="22"/>
    </row>
    <row r="14" spans="1:10" ht="22.5" customHeight="1" x14ac:dyDescent="0.25">
      <c r="A14" s="14" t="s">
        <v>15</v>
      </c>
      <c r="B14" s="7">
        <v>9</v>
      </c>
      <c r="C14" s="7">
        <v>3</v>
      </c>
      <c r="D14" s="7">
        <v>0</v>
      </c>
      <c r="E14" s="7">
        <v>0</v>
      </c>
      <c r="F14" s="7">
        <v>0</v>
      </c>
      <c r="G14" s="7">
        <v>7</v>
      </c>
      <c r="H14" s="25">
        <f t="shared" si="0"/>
        <v>19</v>
      </c>
      <c r="I14" s="35" t="s">
        <v>44</v>
      </c>
      <c r="J14" s="22"/>
    </row>
    <row r="15" spans="1:10" ht="21.75" customHeight="1" x14ac:dyDescent="0.25">
      <c r="A15" s="14" t="s">
        <v>24</v>
      </c>
      <c r="B15" s="7">
        <v>6</v>
      </c>
      <c r="C15" s="7">
        <v>5</v>
      </c>
      <c r="D15" s="7">
        <v>0</v>
      </c>
      <c r="E15" s="7">
        <v>0</v>
      </c>
      <c r="F15" s="7">
        <v>0</v>
      </c>
      <c r="G15" s="7">
        <v>0</v>
      </c>
      <c r="H15" s="25">
        <f t="shared" si="0"/>
        <v>11</v>
      </c>
      <c r="I15" s="35" t="s">
        <v>44</v>
      </c>
      <c r="J15" s="22"/>
    </row>
    <row r="16" spans="1:10" ht="22.5" customHeight="1" x14ac:dyDescent="0.25">
      <c r="A16" s="14" t="s">
        <v>25</v>
      </c>
      <c r="B16" s="7">
        <v>14</v>
      </c>
      <c r="C16" s="7">
        <v>12</v>
      </c>
      <c r="D16" s="7">
        <v>1</v>
      </c>
      <c r="E16" s="7">
        <v>0</v>
      </c>
      <c r="F16" s="7">
        <v>0</v>
      </c>
      <c r="G16" s="7">
        <v>0</v>
      </c>
      <c r="H16" s="25">
        <f>SUM(B16:G16)</f>
        <v>27</v>
      </c>
      <c r="I16" s="34" t="s">
        <v>44</v>
      </c>
      <c r="J16" s="22" t="s">
        <v>32</v>
      </c>
    </row>
    <row r="17" spans="1:10" ht="30" x14ac:dyDescent="0.25">
      <c r="A17" s="14" t="s">
        <v>27</v>
      </c>
      <c r="B17" s="7">
        <v>17</v>
      </c>
      <c r="C17" s="7">
        <v>17</v>
      </c>
      <c r="D17" s="7">
        <v>1</v>
      </c>
      <c r="E17" s="32">
        <v>2</v>
      </c>
      <c r="F17" s="7">
        <v>0</v>
      </c>
      <c r="G17" s="7">
        <v>1</v>
      </c>
      <c r="H17" s="25">
        <f t="shared" ref="H17:H19" si="1">SUM(B17:G17)</f>
        <v>38</v>
      </c>
      <c r="I17" s="35" t="s">
        <v>44</v>
      </c>
      <c r="J17" s="22" t="s">
        <v>49</v>
      </c>
    </row>
    <row r="18" spans="1:10" ht="45" x14ac:dyDescent="0.25">
      <c r="A18" s="14" t="s">
        <v>28</v>
      </c>
      <c r="B18" s="7">
        <v>7</v>
      </c>
      <c r="C18" s="7">
        <v>39</v>
      </c>
      <c r="D18" s="7">
        <v>0</v>
      </c>
      <c r="E18" s="7">
        <v>1</v>
      </c>
      <c r="F18" s="7">
        <v>0</v>
      </c>
      <c r="G18" s="7">
        <v>0</v>
      </c>
      <c r="H18" s="25">
        <f t="shared" si="1"/>
        <v>47</v>
      </c>
      <c r="I18" s="35" t="s">
        <v>44</v>
      </c>
      <c r="J18" s="22" t="s">
        <v>39</v>
      </c>
    </row>
    <row r="19" spans="1:10" ht="22.5" customHeight="1" x14ac:dyDescent="0.25">
      <c r="A19" s="28" t="s">
        <v>34</v>
      </c>
      <c r="B19" s="29">
        <v>0</v>
      </c>
      <c r="C19" s="29">
        <v>4</v>
      </c>
      <c r="D19" s="29">
        <v>0</v>
      </c>
      <c r="E19" s="29">
        <v>0</v>
      </c>
      <c r="F19" s="29">
        <v>0</v>
      </c>
      <c r="G19" s="29">
        <v>0</v>
      </c>
      <c r="H19" s="25">
        <f t="shared" si="1"/>
        <v>4</v>
      </c>
      <c r="I19" s="41" t="s">
        <v>50</v>
      </c>
      <c r="J19" s="31"/>
    </row>
    <row r="20" spans="1:10" ht="22.5" customHeight="1" x14ac:dyDescent="0.25">
      <c r="A20" s="15" t="s">
        <v>16</v>
      </c>
      <c r="B20" s="8">
        <f t="shared" ref="B20:H20" si="2">SUM(B5:B19)</f>
        <v>109</v>
      </c>
      <c r="C20" s="8">
        <f t="shared" si="2"/>
        <v>153</v>
      </c>
      <c r="D20" s="8">
        <f t="shared" si="2"/>
        <v>6</v>
      </c>
      <c r="E20" s="8">
        <f t="shared" si="2"/>
        <v>4</v>
      </c>
      <c r="F20" s="8">
        <f t="shared" si="2"/>
        <v>4</v>
      </c>
      <c r="G20" s="8">
        <f t="shared" si="2"/>
        <v>21</v>
      </c>
      <c r="H20" s="27">
        <f t="shared" si="2"/>
        <v>297</v>
      </c>
      <c r="I20" s="37"/>
      <c r="J20" s="23">
        <f>SUM(B20:G20)</f>
        <v>297</v>
      </c>
    </row>
    <row r="23" spans="1:10" x14ac:dyDescent="0.25">
      <c r="H23" s="1">
        <f>+H20-'April 10'!H20</f>
        <v>0</v>
      </c>
      <c r="J23" t="s">
        <v>37</v>
      </c>
    </row>
    <row r="26" spans="1:10" x14ac:dyDescent="0.25">
      <c r="B26" s="1" t="s">
        <v>41</v>
      </c>
    </row>
  </sheetData>
  <mergeCells count="10">
    <mergeCell ref="G3:G4"/>
    <mergeCell ref="H3:H4"/>
    <mergeCell ref="I3:I4"/>
    <mergeCell ref="J3:J4"/>
    <mergeCell ref="A3:A4"/>
    <mergeCell ref="B3:B4"/>
    <mergeCell ref="C3:C4"/>
    <mergeCell ref="D3:D4"/>
    <mergeCell ref="E3:E4"/>
    <mergeCell ref="F3:F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7FFF-C375-492B-B1F8-10872A57969E}">
  <sheetPr codeName="Sheet17"/>
  <dimension ref="A1:J26"/>
  <sheetViews>
    <sheetView topLeftCell="A4" workbookViewId="0">
      <selection activeCell="J5" sqref="J5"/>
    </sheetView>
  </sheetViews>
  <sheetFormatPr defaultRowHeight="15" x14ac:dyDescent="0.25"/>
  <cols>
    <col min="1" max="1" width="30.85546875" style="12" customWidth="1"/>
    <col min="2" max="2" width="14.7109375" style="1" customWidth="1"/>
    <col min="3" max="8" width="10.7109375" style="1" customWidth="1"/>
    <col min="9" max="9" width="19.85546875" style="1" customWidth="1"/>
    <col min="10" max="10" width="44.7109375" customWidth="1"/>
  </cols>
  <sheetData>
    <row r="1" spans="1:10" x14ac:dyDescent="0.25">
      <c r="A1" s="12" t="s">
        <v>0</v>
      </c>
      <c r="B1" s="6">
        <v>43935</v>
      </c>
    </row>
    <row r="3" spans="1:10" ht="15" customHeight="1" x14ac:dyDescent="0.25">
      <c r="A3" s="49" t="s">
        <v>1</v>
      </c>
      <c r="B3" s="45" t="s">
        <v>2</v>
      </c>
      <c r="C3" s="45" t="s">
        <v>3</v>
      </c>
      <c r="D3" s="45" t="s">
        <v>4</v>
      </c>
      <c r="E3" s="45" t="s">
        <v>5</v>
      </c>
      <c r="F3" s="45" t="s">
        <v>6</v>
      </c>
      <c r="G3" s="45" t="s">
        <v>7</v>
      </c>
      <c r="H3" s="45" t="s">
        <v>16</v>
      </c>
      <c r="I3" s="51" t="s">
        <v>43</v>
      </c>
      <c r="J3" s="45" t="s">
        <v>8</v>
      </c>
    </row>
    <row r="4" spans="1:10" ht="15" customHeight="1" x14ac:dyDescent="0.25">
      <c r="A4" s="50"/>
      <c r="B4" s="46"/>
      <c r="C4" s="46"/>
      <c r="D4" s="46"/>
      <c r="E4" s="46"/>
      <c r="F4" s="46"/>
      <c r="G4" s="46"/>
      <c r="H4" s="46"/>
      <c r="I4" s="52"/>
      <c r="J4" s="46"/>
    </row>
    <row r="5" spans="1:10" ht="30" x14ac:dyDescent="0.25">
      <c r="A5" s="13" t="s">
        <v>17</v>
      </c>
      <c r="B5" s="5">
        <v>8</v>
      </c>
      <c r="C5" s="5">
        <v>21</v>
      </c>
      <c r="D5" s="5">
        <v>0</v>
      </c>
      <c r="E5" s="5">
        <v>0</v>
      </c>
      <c r="F5" s="5">
        <v>1</v>
      </c>
      <c r="G5" s="5">
        <v>0</v>
      </c>
      <c r="H5" s="25">
        <f t="shared" ref="H5:H15" si="0">SUM(B5:G5)</f>
        <v>30</v>
      </c>
      <c r="I5" s="35" t="s">
        <v>44</v>
      </c>
      <c r="J5" s="21" t="s">
        <v>51</v>
      </c>
    </row>
    <row r="6" spans="1:10" ht="75" x14ac:dyDescent="0.25">
      <c r="A6" s="13" t="s">
        <v>19</v>
      </c>
      <c r="B6" s="5">
        <v>19</v>
      </c>
      <c r="C6" s="5">
        <v>21</v>
      </c>
      <c r="D6" s="5">
        <v>2</v>
      </c>
      <c r="E6" s="5">
        <v>1</v>
      </c>
      <c r="F6" s="5">
        <v>1</v>
      </c>
      <c r="G6" s="5">
        <v>1</v>
      </c>
      <c r="H6" s="25">
        <f t="shared" si="0"/>
        <v>45</v>
      </c>
      <c r="I6" s="35" t="s">
        <v>45</v>
      </c>
      <c r="J6" s="21" t="s">
        <v>52</v>
      </c>
    </row>
    <row r="7" spans="1:10" ht="22.5" customHeight="1" thickBot="1" x14ac:dyDescent="0.3">
      <c r="A7" s="13" t="s">
        <v>11</v>
      </c>
      <c r="B7" s="5">
        <v>6</v>
      </c>
      <c r="C7" s="5">
        <v>2</v>
      </c>
      <c r="D7" s="5">
        <v>0</v>
      </c>
      <c r="E7" s="5">
        <v>1</v>
      </c>
      <c r="F7" s="5">
        <v>0</v>
      </c>
      <c r="G7" s="5">
        <v>0</v>
      </c>
      <c r="H7" s="25">
        <f t="shared" si="0"/>
        <v>9</v>
      </c>
      <c r="I7" s="39" t="s">
        <v>44</v>
      </c>
      <c r="J7" s="16" t="s">
        <v>31</v>
      </c>
    </row>
    <row r="8" spans="1:10" ht="22.5" customHeight="1" x14ac:dyDescent="0.25">
      <c r="A8" s="13" t="s">
        <v>20</v>
      </c>
      <c r="B8" s="5">
        <v>1</v>
      </c>
      <c r="C8" s="5">
        <v>7</v>
      </c>
      <c r="D8" s="5">
        <v>0</v>
      </c>
      <c r="E8" s="5">
        <v>0</v>
      </c>
      <c r="F8" s="5">
        <v>0</v>
      </c>
      <c r="G8" s="5">
        <v>0</v>
      </c>
      <c r="H8" s="25">
        <f t="shared" si="0"/>
        <v>8</v>
      </c>
      <c r="I8" s="40" t="s">
        <v>44</v>
      </c>
      <c r="J8" s="21"/>
    </row>
    <row r="9" spans="1:10" x14ac:dyDescent="0.25">
      <c r="A9" s="13" t="s">
        <v>21</v>
      </c>
      <c r="B9" s="5">
        <v>2</v>
      </c>
      <c r="C9" s="5">
        <v>6</v>
      </c>
      <c r="D9" s="5">
        <v>0</v>
      </c>
      <c r="E9" s="5">
        <v>0</v>
      </c>
      <c r="F9" s="5">
        <v>0</v>
      </c>
      <c r="G9" s="5">
        <v>0</v>
      </c>
      <c r="H9" s="25">
        <f t="shared" si="0"/>
        <v>8</v>
      </c>
      <c r="I9" s="35" t="s">
        <v>44</v>
      </c>
      <c r="J9" s="21"/>
    </row>
    <row r="10" spans="1:10" ht="22.5" customHeight="1" x14ac:dyDescent="0.25">
      <c r="A10" s="13" t="s">
        <v>22</v>
      </c>
      <c r="B10" s="5">
        <v>9</v>
      </c>
      <c r="C10" s="5">
        <v>13</v>
      </c>
      <c r="D10" s="5">
        <v>1</v>
      </c>
      <c r="E10" s="5">
        <v>0</v>
      </c>
      <c r="F10" s="5">
        <v>2</v>
      </c>
      <c r="G10" s="5">
        <v>1</v>
      </c>
      <c r="H10" s="25">
        <f t="shared" si="0"/>
        <v>26</v>
      </c>
      <c r="I10" s="35" t="s">
        <v>44</v>
      </c>
      <c r="J10" s="21"/>
    </row>
    <row r="11" spans="1:10" ht="22.5" customHeight="1" x14ac:dyDescent="0.25">
      <c r="A11" s="13" t="s">
        <v>9</v>
      </c>
      <c r="B11" s="5">
        <v>0</v>
      </c>
      <c r="C11" s="5">
        <v>4</v>
      </c>
      <c r="D11" s="5">
        <v>0</v>
      </c>
      <c r="E11" s="5">
        <v>0</v>
      </c>
      <c r="F11" s="5">
        <v>1</v>
      </c>
      <c r="G11" s="5">
        <v>0</v>
      </c>
      <c r="H11" s="25">
        <f t="shared" si="0"/>
        <v>5</v>
      </c>
      <c r="I11" s="35" t="s">
        <v>44</v>
      </c>
      <c r="J11" s="21"/>
    </row>
    <row r="12" spans="1:10" ht="22.5" customHeight="1" x14ac:dyDescent="0.25">
      <c r="A12" s="13" t="s">
        <v>12</v>
      </c>
      <c r="B12" s="5">
        <v>7</v>
      </c>
      <c r="C12" s="5">
        <v>5</v>
      </c>
      <c r="D12" s="5">
        <v>0</v>
      </c>
      <c r="E12" s="5">
        <v>0</v>
      </c>
      <c r="F12" s="5">
        <v>0</v>
      </c>
      <c r="G12" s="5">
        <v>0</v>
      </c>
      <c r="H12" s="25">
        <f t="shared" si="0"/>
        <v>12</v>
      </c>
      <c r="I12" s="35" t="s">
        <v>44</v>
      </c>
      <c r="J12" s="21"/>
    </row>
    <row r="13" spans="1:10" ht="22.5" customHeight="1" x14ac:dyDescent="0.25">
      <c r="A13" s="14" t="s">
        <v>14</v>
      </c>
      <c r="B13" s="7">
        <v>2</v>
      </c>
      <c r="C13" s="7">
        <v>1</v>
      </c>
      <c r="D13" s="7">
        <v>0</v>
      </c>
      <c r="E13" s="7">
        <v>0</v>
      </c>
      <c r="F13" s="7">
        <v>0</v>
      </c>
      <c r="G13" s="7">
        <v>5</v>
      </c>
      <c r="H13" s="25">
        <f t="shared" si="0"/>
        <v>8</v>
      </c>
      <c r="I13" s="35" t="s">
        <v>44</v>
      </c>
      <c r="J13" s="22"/>
    </row>
    <row r="14" spans="1:10" ht="22.5" customHeight="1" x14ac:dyDescent="0.25">
      <c r="A14" s="14" t="s">
        <v>15</v>
      </c>
      <c r="B14" s="7">
        <v>7</v>
      </c>
      <c r="C14" s="7">
        <v>6</v>
      </c>
      <c r="D14" s="7">
        <v>0</v>
      </c>
      <c r="E14" s="7">
        <v>0</v>
      </c>
      <c r="F14" s="7">
        <v>0</v>
      </c>
      <c r="G14" s="7">
        <v>6</v>
      </c>
      <c r="H14" s="25">
        <f t="shared" si="0"/>
        <v>19</v>
      </c>
      <c r="I14" s="35" t="s">
        <v>44</v>
      </c>
      <c r="J14" s="22"/>
    </row>
    <row r="15" spans="1:10" ht="21.75" customHeight="1" x14ac:dyDescent="0.25">
      <c r="A15" s="14" t="s">
        <v>24</v>
      </c>
      <c r="B15" s="7">
        <v>5</v>
      </c>
      <c r="C15" s="7">
        <v>6</v>
      </c>
      <c r="D15" s="7">
        <v>0</v>
      </c>
      <c r="E15" s="7">
        <v>0</v>
      </c>
      <c r="F15" s="7">
        <v>0</v>
      </c>
      <c r="G15" s="7">
        <v>0</v>
      </c>
      <c r="H15" s="25">
        <f t="shared" si="0"/>
        <v>11</v>
      </c>
      <c r="I15" s="35" t="s">
        <v>44</v>
      </c>
      <c r="J15" s="22"/>
    </row>
    <row r="16" spans="1:10" ht="22.5" customHeight="1" x14ac:dyDescent="0.25">
      <c r="A16" s="14" t="s">
        <v>25</v>
      </c>
      <c r="B16" s="7">
        <v>13</v>
      </c>
      <c r="C16" s="7">
        <v>13</v>
      </c>
      <c r="D16" s="7">
        <v>1</v>
      </c>
      <c r="E16" s="7">
        <v>0</v>
      </c>
      <c r="F16" s="7">
        <v>0</v>
      </c>
      <c r="G16" s="7">
        <v>0</v>
      </c>
      <c r="H16" s="25">
        <f>SUM(B16:G16)</f>
        <v>27</v>
      </c>
      <c r="I16" s="34" t="s">
        <v>44</v>
      </c>
      <c r="J16" s="22" t="s">
        <v>32</v>
      </c>
    </row>
    <row r="17" spans="1:10" ht="30" x14ac:dyDescent="0.25">
      <c r="A17" s="14" t="s">
        <v>27</v>
      </c>
      <c r="B17" s="7">
        <v>17</v>
      </c>
      <c r="C17" s="7">
        <v>17</v>
      </c>
      <c r="D17" s="7">
        <v>0</v>
      </c>
      <c r="E17" s="32">
        <v>2</v>
      </c>
      <c r="F17" s="7">
        <v>0</v>
      </c>
      <c r="G17" s="7">
        <v>2</v>
      </c>
      <c r="H17" s="25">
        <f t="shared" ref="H17:H19" si="1">SUM(B17:G17)</f>
        <v>38</v>
      </c>
      <c r="I17" s="35" t="s">
        <v>44</v>
      </c>
      <c r="J17" s="22" t="s">
        <v>49</v>
      </c>
    </row>
    <row r="18" spans="1:10" ht="45" x14ac:dyDescent="0.25">
      <c r="A18" s="14" t="s">
        <v>28</v>
      </c>
      <c r="B18" s="7">
        <v>7</v>
      </c>
      <c r="C18" s="7">
        <v>39</v>
      </c>
      <c r="D18" s="7">
        <v>0</v>
      </c>
      <c r="E18" s="7">
        <v>1</v>
      </c>
      <c r="F18" s="7">
        <v>0</v>
      </c>
      <c r="G18" s="7">
        <v>0</v>
      </c>
      <c r="H18" s="25">
        <f t="shared" si="1"/>
        <v>47</v>
      </c>
      <c r="I18" s="35" t="s">
        <v>44</v>
      </c>
      <c r="J18" s="22" t="s">
        <v>39</v>
      </c>
    </row>
    <row r="19" spans="1:10" ht="22.5" customHeight="1" x14ac:dyDescent="0.25">
      <c r="A19" s="28" t="s">
        <v>34</v>
      </c>
      <c r="B19" s="29">
        <v>0</v>
      </c>
      <c r="C19" s="29">
        <v>4</v>
      </c>
      <c r="D19" s="29">
        <v>0</v>
      </c>
      <c r="E19" s="29">
        <v>0</v>
      </c>
      <c r="F19" s="29">
        <v>0</v>
      </c>
      <c r="G19" s="29">
        <v>0</v>
      </c>
      <c r="H19" s="25">
        <f t="shared" si="1"/>
        <v>4</v>
      </c>
      <c r="I19" s="39" t="s">
        <v>44</v>
      </c>
      <c r="J19" s="31"/>
    </row>
    <row r="20" spans="1:10" ht="22.5" customHeight="1" x14ac:dyDescent="0.25">
      <c r="A20" s="15" t="s">
        <v>16</v>
      </c>
      <c r="B20" s="8">
        <f t="shared" ref="B20:H20" si="2">SUM(B5:B19)</f>
        <v>103</v>
      </c>
      <c r="C20" s="8">
        <f t="shared" si="2"/>
        <v>165</v>
      </c>
      <c r="D20" s="8">
        <f t="shared" si="2"/>
        <v>4</v>
      </c>
      <c r="E20" s="8">
        <f t="shared" si="2"/>
        <v>5</v>
      </c>
      <c r="F20" s="8">
        <f t="shared" si="2"/>
        <v>5</v>
      </c>
      <c r="G20" s="8">
        <f t="shared" si="2"/>
        <v>15</v>
      </c>
      <c r="H20" s="27">
        <f t="shared" si="2"/>
        <v>297</v>
      </c>
      <c r="I20" s="37"/>
      <c r="J20" s="23">
        <f>SUM(B20:G20)</f>
        <v>297</v>
      </c>
    </row>
    <row r="23" spans="1:10" x14ac:dyDescent="0.25">
      <c r="H23" s="1">
        <f>+H20-'April 13'!H20</f>
        <v>0</v>
      </c>
      <c r="J23" t="s">
        <v>37</v>
      </c>
    </row>
    <row r="26" spans="1:10" x14ac:dyDescent="0.25">
      <c r="B26" s="1" t="s">
        <v>41</v>
      </c>
    </row>
  </sheetData>
  <mergeCells count="10">
    <mergeCell ref="G3:G4"/>
    <mergeCell ref="H3:H4"/>
    <mergeCell ref="I3:I4"/>
    <mergeCell ref="J3:J4"/>
    <mergeCell ref="A3:A4"/>
    <mergeCell ref="B3:B4"/>
    <mergeCell ref="C3:C4"/>
    <mergeCell ref="D3:D4"/>
    <mergeCell ref="E3:E4"/>
    <mergeCell ref="F3:F4"/>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447D7-D66E-4F4D-9B57-E00510DE76E8}">
  <sheetPr codeName="Sheet18"/>
  <dimension ref="A1:J26"/>
  <sheetViews>
    <sheetView topLeftCell="E7" workbookViewId="0">
      <selection activeCell="I15" sqref="A1:XFD1048576"/>
    </sheetView>
  </sheetViews>
  <sheetFormatPr defaultRowHeight="15" x14ac:dyDescent="0.25"/>
  <cols>
    <col min="1" max="1" width="30.85546875" style="12" customWidth="1"/>
    <col min="2" max="2" width="14.7109375" style="1" customWidth="1"/>
    <col min="3" max="8" width="10.7109375" style="1" customWidth="1"/>
    <col min="9" max="9" width="19.85546875" style="1" customWidth="1"/>
    <col min="10" max="10" width="44.7109375" customWidth="1"/>
  </cols>
  <sheetData>
    <row r="1" spans="1:10" x14ac:dyDescent="0.25">
      <c r="A1" s="12" t="s">
        <v>0</v>
      </c>
      <c r="B1" s="6">
        <v>43936</v>
      </c>
    </row>
    <row r="3" spans="1:10" ht="15" customHeight="1" x14ac:dyDescent="0.25">
      <c r="A3" s="49" t="s">
        <v>1</v>
      </c>
      <c r="B3" s="45" t="s">
        <v>2</v>
      </c>
      <c r="C3" s="45" t="s">
        <v>3</v>
      </c>
      <c r="D3" s="45" t="s">
        <v>4</v>
      </c>
      <c r="E3" s="45" t="s">
        <v>5</v>
      </c>
      <c r="F3" s="45" t="s">
        <v>6</v>
      </c>
      <c r="G3" s="45" t="s">
        <v>7</v>
      </c>
      <c r="H3" s="45" t="s">
        <v>16</v>
      </c>
      <c r="I3" s="51" t="s">
        <v>43</v>
      </c>
      <c r="J3" s="45" t="s">
        <v>8</v>
      </c>
    </row>
    <row r="4" spans="1:10" ht="15" customHeight="1" x14ac:dyDescent="0.25">
      <c r="A4" s="50"/>
      <c r="B4" s="46"/>
      <c r="C4" s="46"/>
      <c r="D4" s="46"/>
      <c r="E4" s="46"/>
      <c r="F4" s="46"/>
      <c r="G4" s="46"/>
      <c r="H4" s="46"/>
      <c r="I4" s="52"/>
      <c r="J4" s="46"/>
    </row>
    <row r="5" spans="1:10" ht="30" x14ac:dyDescent="0.25">
      <c r="A5" s="13" t="s">
        <v>17</v>
      </c>
      <c r="B5" s="5">
        <v>9</v>
      </c>
      <c r="C5" s="5">
        <v>20</v>
      </c>
      <c r="D5" s="5">
        <v>0</v>
      </c>
      <c r="E5" s="5">
        <v>0</v>
      </c>
      <c r="F5" s="5">
        <v>1</v>
      </c>
      <c r="G5" s="5">
        <v>0</v>
      </c>
      <c r="H5" s="25">
        <f t="shared" ref="H5:H15" si="0">SUM(B5:G5)</f>
        <v>30</v>
      </c>
      <c r="I5" s="42" t="s">
        <v>44</v>
      </c>
      <c r="J5" s="21" t="s">
        <v>51</v>
      </c>
    </row>
    <row r="6" spans="1:10" ht="45" x14ac:dyDescent="0.25">
      <c r="A6" s="13" t="s">
        <v>19</v>
      </c>
      <c r="B6" s="5">
        <v>17</v>
      </c>
      <c r="C6" s="5">
        <v>25</v>
      </c>
      <c r="D6" s="5">
        <v>2</v>
      </c>
      <c r="E6" s="5">
        <v>0</v>
      </c>
      <c r="F6" s="5">
        <v>0</v>
      </c>
      <c r="G6" s="5">
        <v>1</v>
      </c>
      <c r="H6" s="25">
        <f t="shared" si="0"/>
        <v>45</v>
      </c>
      <c r="I6" s="38" t="s">
        <v>45</v>
      </c>
      <c r="J6" s="21" t="s">
        <v>53</v>
      </c>
    </row>
    <row r="7" spans="1:10" ht="22.5" customHeight="1" x14ac:dyDescent="0.25">
      <c r="A7" s="13" t="s">
        <v>11</v>
      </c>
      <c r="B7" s="5">
        <v>7</v>
      </c>
      <c r="C7" s="5">
        <v>1</v>
      </c>
      <c r="D7" s="5">
        <v>0</v>
      </c>
      <c r="E7" s="5">
        <v>1</v>
      </c>
      <c r="F7" s="5">
        <v>0</v>
      </c>
      <c r="G7" s="5">
        <v>0</v>
      </c>
      <c r="H7" s="25">
        <f t="shared" si="0"/>
        <v>9</v>
      </c>
      <c r="I7" s="39" t="s">
        <v>44</v>
      </c>
      <c r="J7" s="16" t="s">
        <v>31</v>
      </c>
    </row>
    <row r="8" spans="1:10" ht="22.5" customHeight="1" x14ac:dyDescent="0.25">
      <c r="A8" s="13" t="s">
        <v>20</v>
      </c>
      <c r="B8" s="5">
        <v>2</v>
      </c>
      <c r="C8" s="5">
        <v>6</v>
      </c>
      <c r="D8" s="5">
        <v>0</v>
      </c>
      <c r="E8" s="5">
        <v>0</v>
      </c>
      <c r="F8" s="5">
        <v>0</v>
      </c>
      <c r="G8" s="5">
        <v>0</v>
      </c>
      <c r="H8" s="25">
        <f t="shared" si="0"/>
        <v>8</v>
      </c>
      <c r="I8" s="40" t="s">
        <v>44</v>
      </c>
      <c r="J8" s="21"/>
    </row>
    <row r="9" spans="1:10" x14ac:dyDescent="0.25">
      <c r="A9" s="13" t="s">
        <v>21</v>
      </c>
      <c r="B9" s="5">
        <v>3</v>
      </c>
      <c r="C9" s="5">
        <v>5</v>
      </c>
      <c r="D9" s="5">
        <v>0</v>
      </c>
      <c r="E9" s="5">
        <v>0</v>
      </c>
      <c r="F9" s="5">
        <v>0</v>
      </c>
      <c r="G9" s="5">
        <v>0</v>
      </c>
      <c r="H9" s="25">
        <f t="shared" si="0"/>
        <v>8</v>
      </c>
      <c r="I9" s="35" t="s">
        <v>44</v>
      </c>
      <c r="J9" s="21"/>
    </row>
    <row r="10" spans="1:10" ht="22.5" customHeight="1" x14ac:dyDescent="0.25">
      <c r="A10" s="13" t="s">
        <v>22</v>
      </c>
      <c r="B10" s="5">
        <v>7</v>
      </c>
      <c r="C10" s="5">
        <v>16</v>
      </c>
      <c r="D10" s="5">
        <v>1</v>
      </c>
      <c r="E10" s="5">
        <v>0</v>
      </c>
      <c r="F10" s="5">
        <v>1</v>
      </c>
      <c r="G10" s="5">
        <v>1</v>
      </c>
      <c r="H10" s="25">
        <f t="shared" si="0"/>
        <v>26</v>
      </c>
      <c r="I10" s="35" t="s">
        <v>44</v>
      </c>
      <c r="J10" s="21"/>
    </row>
    <row r="11" spans="1:10" ht="22.5" customHeight="1" x14ac:dyDescent="0.25">
      <c r="A11" s="13" t="s">
        <v>9</v>
      </c>
      <c r="B11" s="5">
        <v>1</v>
      </c>
      <c r="C11" s="5">
        <v>4</v>
      </c>
      <c r="D11" s="5">
        <v>0</v>
      </c>
      <c r="E11" s="5">
        <v>0</v>
      </c>
      <c r="F11" s="5">
        <v>0</v>
      </c>
      <c r="G11" s="5">
        <v>0</v>
      </c>
      <c r="H11" s="25">
        <f t="shared" si="0"/>
        <v>5</v>
      </c>
      <c r="I11" s="35" t="s">
        <v>44</v>
      </c>
      <c r="J11" s="21"/>
    </row>
    <row r="12" spans="1:10" ht="22.5" customHeight="1" x14ac:dyDescent="0.25">
      <c r="A12" s="13" t="s">
        <v>12</v>
      </c>
      <c r="B12" s="5">
        <v>7</v>
      </c>
      <c r="C12" s="5">
        <v>5</v>
      </c>
      <c r="D12" s="5">
        <v>0</v>
      </c>
      <c r="E12" s="5">
        <v>0</v>
      </c>
      <c r="F12" s="5">
        <v>0</v>
      </c>
      <c r="G12" s="5">
        <v>0</v>
      </c>
      <c r="H12" s="25">
        <f t="shared" si="0"/>
        <v>12</v>
      </c>
      <c r="I12" s="35" t="s">
        <v>44</v>
      </c>
      <c r="J12" s="21"/>
    </row>
    <row r="13" spans="1:10" ht="22.5" customHeight="1" x14ac:dyDescent="0.25">
      <c r="A13" s="14" t="s">
        <v>14</v>
      </c>
      <c r="B13" s="7">
        <v>2</v>
      </c>
      <c r="C13" s="7">
        <v>2</v>
      </c>
      <c r="D13" s="7">
        <v>0</v>
      </c>
      <c r="E13" s="7">
        <v>0</v>
      </c>
      <c r="F13" s="7">
        <v>0</v>
      </c>
      <c r="G13" s="7">
        <v>4</v>
      </c>
      <c r="H13" s="25">
        <f t="shared" si="0"/>
        <v>8</v>
      </c>
      <c r="I13" s="35" t="s">
        <v>44</v>
      </c>
      <c r="J13" s="22"/>
    </row>
    <row r="14" spans="1:10" ht="22.5" customHeight="1" x14ac:dyDescent="0.25">
      <c r="A14" s="14" t="s">
        <v>15</v>
      </c>
      <c r="B14" s="32">
        <v>7</v>
      </c>
      <c r="C14" s="32">
        <v>6</v>
      </c>
      <c r="D14" s="32">
        <v>0</v>
      </c>
      <c r="E14" s="32">
        <v>0</v>
      </c>
      <c r="F14" s="32">
        <v>0</v>
      </c>
      <c r="G14" s="32">
        <v>6</v>
      </c>
      <c r="H14" s="33">
        <f t="shared" si="0"/>
        <v>19</v>
      </c>
      <c r="I14" s="35" t="s">
        <v>44</v>
      </c>
      <c r="J14" s="22"/>
    </row>
    <row r="15" spans="1:10" ht="21.75" customHeight="1" x14ac:dyDescent="0.25">
      <c r="A15" s="14" t="s">
        <v>24</v>
      </c>
      <c r="B15" s="7">
        <v>8</v>
      </c>
      <c r="C15" s="7">
        <v>3</v>
      </c>
      <c r="D15" s="7">
        <v>0</v>
      </c>
      <c r="E15" s="7">
        <v>0</v>
      </c>
      <c r="F15" s="7">
        <v>0</v>
      </c>
      <c r="G15" s="7">
        <v>0</v>
      </c>
      <c r="H15" s="25">
        <f t="shared" si="0"/>
        <v>11</v>
      </c>
      <c r="I15" s="35" t="s">
        <v>44</v>
      </c>
      <c r="J15" s="22"/>
    </row>
    <row r="16" spans="1:10" ht="22.5" customHeight="1" x14ac:dyDescent="0.25">
      <c r="A16" s="14" t="s">
        <v>25</v>
      </c>
      <c r="B16" s="7">
        <v>13</v>
      </c>
      <c r="C16" s="7">
        <v>12</v>
      </c>
      <c r="D16" s="7">
        <v>1</v>
      </c>
      <c r="E16" s="7">
        <v>0</v>
      </c>
      <c r="F16" s="7">
        <v>1</v>
      </c>
      <c r="G16" s="7">
        <v>0</v>
      </c>
      <c r="H16" s="25">
        <f>SUM(B16:G16)</f>
        <v>27</v>
      </c>
      <c r="I16" s="34" t="s">
        <v>44</v>
      </c>
      <c r="J16" s="22" t="s">
        <v>32</v>
      </c>
    </row>
    <row r="17" spans="1:10" ht="30" x14ac:dyDescent="0.25">
      <c r="A17" s="14" t="s">
        <v>27</v>
      </c>
      <c r="B17" s="7">
        <v>17</v>
      </c>
      <c r="C17" s="7">
        <v>17</v>
      </c>
      <c r="D17" s="7">
        <v>1</v>
      </c>
      <c r="E17" s="32">
        <v>2</v>
      </c>
      <c r="F17" s="7">
        <v>0</v>
      </c>
      <c r="G17" s="7">
        <v>1</v>
      </c>
      <c r="H17" s="25">
        <f t="shared" ref="H17:H19" si="1">SUM(B17:G17)</f>
        <v>38</v>
      </c>
      <c r="I17" s="35" t="s">
        <v>44</v>
      </c>
      <c r="J17" s="22" t="s">
        <v>49</v>
      </c>
    </row>
    <row r="18" spans="1:10" ht="45" x14ac:dyDescent="0.25">
      <c r="A18" s="14" t="s">
        <v>28</v>
      </c>
      <c r="B18" s="7">
        <v>7</v>
      </c>
      <c r="C18" s="7">
        <v>39</v>
      </c>
      <c r="D18" s="7">
        <v>0</v>
      </c>
      <c r="E18" s="7">
        <v>1</v>
      </c>
      <c r="F18" s="7">
        <v>0</v>
      </c>
      <c r="G18" s="7">
        <v>0</v>
      </c>
      <c r="H18" s="25">
        <f t="shared" si="1"/>
        <v>47</v>
      </c>
      <c r="I18" s="35" t="s">
        <v>44</v>
      </c>
      <c r="J18" s="22" t="s">
        <v>39</v>
      </c>
    </row>
    <row r="19" spans="1:10" ht="22.5" customHeight="1" x14ac:dyDescent="0.25">
      <c r="A19" s="28" t="s">
        <v>34</v>
      </c>
      <c r="B19" s="29">
        <v>0</v>
      </c>
      <c r="C19" s="29">
        <v>4</v>
      </c>
      <c r="D19" s="29">
        <v>0</v>
      </c>
      <c r="E19" s="29">
        <v>0</v>
      </c>
      <c r="F19" s="29">
        <v>0</v>
      </c>
      <c r="G19" s="29">
        <v>0</v>
      </c>
      <c r="H19" s="25">
        <f t="shared" si="1"/>
        <v>4</v>
      </c>
      <c r="I19" s="39" t="s">
        <v>44</v>
      </c>
      <c r="J19" s="31"/>
    </row>
    <row r="20" spans="1:10" ht="22.5" customHeight="1" x14ac:dyDescent="0.25">
      <c r="A20" s="15" t="s">
        <v>16</v>
      </c>
      <c r="B20" s="8">
        <f t="shared" ref="B20:G20" si="2">SUM(B5:B19)</f>
        <v>107</v>
      </c>
      <c r="C20" s="8">
        <f t="shared" si="2"/>
        <v>165</v>
      </c>
      <c r="D20" s="8">
        <f t="shared" si="2"/>
        <v>5</v>
      </c>
      <c r="E20" s="8">
        <f t="shared" si="2"/>
        <v>4</v>
      </c>
      <c r="F20" s="8">
        <f t="shared" si="2"/>
        <v>3</v>
      </c>
      <c r="G20" s="8">
        <f t="shared" si="2"/>
        <v>13</v>
      </c>
      <c r="H20" s="27">
        <f>SUM(H5:H19)</f>
        <v>297</v>
      </c>
      <c r="I20" s="37"/>
      <c r="J20" s="23">
        <f>SUM(B20:G20)</f>
        <v>297</v>
      </c>
    </row>
    <row r="23" spans="1:10" x14ac:dyDescent="0.25">
      <c r="H23" s="1">
        <f>+H20-'April 14'!H20</f>
        <v>0</v>
      </c>
      <c r="J23" t="s">
        <v>37</v>
      </c>
    </row>
    <row r="26" spans="1:10" x14ac:dyDescent="0.25">
      <c r="B26" s="1" t="s">
        <v>41</v>
      </c>
    </row>
  </sheetData>
  <mergeCells count="10">
    <mergeCell ref="G3:G4"/>
    <mergeCell ref="H3:H4"/>
    <mergeCell ref="I3:I4"/>
    <mergeCell ref="J3:J4"/>
    <mergeCell ref="A3:A4"/>
    <mergeCell ref="B3:B4"/>
    <mergeCell ref="C3:C4"/>
    <mergeCell ref="D3:D4"/>
    <mergeCell ref="E3:E4"/>
    <mergeCell ref="F3:F4"/>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972E6-7135-44B0-906C-5510DC09F589}">
  <sheetPr codeName="Sheet19"/>
  <dimension ref="A1:J26"/>
  <sheetViews>
    <sheetView workbookViewId="0">
      <selection activeCell="I6" sqref="I6"/>
    </sheetView>
  </sheetViews>
  <sheetFormatPr defaultRowHeight="15" x14ac:dyDescent="0.25"/>
  <cols>
    <col min="1" max="1" width="30.85546875" style="12" customWidth="1"/>
    <col min="2" max="2" width="14.7109375" style="1" customWidth="1"/>
    <col min="3" max="8" width="10.7109375" style="1" customWidth="1"/>
    <col min="9" max="9" width="19.85546875" style="1" customWidth="1"/>
    <col min="10" max="10" width="44.7109375" customWidth="1"/>
  </cols>
  <sheetData>
    <row r="1" spans="1:10" x14ac:dyDescent="0.25">
      <c r="A1" s="12" t="s">
        <v>0</v>
      </c>
      <c r="B1" s="6">
        <v>43937</v>
      </c>
    </row>
    <row r="3" spans="1:10" ht="15" customHeight="1" x14ac:dyDescent="0.25">
      <c r="A3" s="49" t="s">
        <v>1</v>
      </c>
      <c r="B3" s="45" t="s">
        <v>2</v>
      </c>
      <c r="C3" s="45" t="s">
        <v>3</v>
      </c>
      <c r="D3" s="45" t="s">
        <v>4</v>
      </c>
      <c r="E3" s="45" t="s">
        <v>5</v>
      </c>
      <c r="F3" s="45" t="s">
        <v>6</v>
      </c>
      <c r="G3" s="45" t="s">
        <v>7</v>
      </c>
      <c r="H3" s="45" t="s">
        <v>16</v>
      </c>
      <c r="I3" s="51" t="s">
        <v>43</v>
      </c>
      <c r="J3" s="45" t="s">
        <v>8</v>
      </c>
    </row>
    <row r="4" spans="1:10" ht="15" customHeight="1" x14ac:dyDescent="0.25">
      <c r="A4" s="50"/>
      <c r="B4" s="46"/>
      <c r="C4" s="46"/>
      <c r="D4" s="46"/>
      <c r="E4" s="46"/>
      <c r="F4" s="46"/>
      <c r="G4" s="46"/>
      <c r="H4" s="46"/>
      <c r="I4" s="52"/>
      <c r="J4" s="46"/>
    </row>
    <row r="5" spans="1:10" x14ac:dyDescent="0.25">
      <c r="A5" s="13" t="s">
        <v>17</v>
      </c>
      <c r="B5" s="5">
        <v>9</v>
      </c>
      <c r="C5" s="5">
        <v>19</v>
      </c>
      <c r="D5" s="5">
        <v>0</v>
      </c>
      <c r="E5" s="5">
        <v>1</v>
      </c>
      <c r="F5" s="5">
        <v>1</v>
      </c>
      <c r="G5" s="5">
        <v>0</v>
      </c>
      <c r="H5" s="25">
        <f t="shared" ref="H5:H15" si="0">SUM(B5:G5)</f>
        <v>30</v>
      </c>
      <c r="I5" s="42" t="s">
        <v>44</v>
      </c>
      <c r="J5" s="21" t="s">
        <v>38</v>
      </c>
    </row>
    <row r="6" spans="1:10" ht="45" x14ac:dyDescent="0.25">
      <c r="A6" s="13" t="s">
        <v>19</v>
      </c>
      <c r="B6" s="5">
        <v>19</v>
      </c>
      <c r="C6" s="5">
        <v>21</v>
      </c>
      <c r="D6" s="5">
        <v>2</v>
      </c>
      <c r="E6" s="5">
        <v>0</v>
      </c>
      <c r="F6" s="5">
        <v>2</v>
      </c>
      <c r="G6" s="5">
        <v>1</v>
      </c>
      <c r="H6" s="25">
        <f t="shared" si="0"/>
        <v>45</v>
      </c>
      <c r="I6" s="38" t="s">
        <v>45</v>
      </c>
      <c r="J6" s="21" t="s">
        <v>53</v>
      </c>
    </row>
    <row r="7" spans="1:10" ht="22.5" customHeight="1" x14ac:dyDescent="0.25">
      <c r="A7" s="13" t="s">
        <v>11</v>
      </c>
      <c r="B7" s="5">
        <v>5</v>
      </c>
      <c r="C7" s="5">
        <v>2</v>
      </c>
      <c r="D7" s="5">
        <v>0</v>
      </c>
      <c r="E7" s="5">
        <v>2</v>
      </c>
      <c r="F7" s="5">
        <v>0</v>
      </c>
      <c r="G7" s="5">
        <v>0</v>
      </c>
      <c r="H7" s="25">
        <f t="shared" si="0"/>
        <v>9</v>
      </c>
      <c r="I7" s="39" t="s">
        <v>44</v>
      </c>
      <c r="J7" s="16" t="s">
        <v>54</v>
      </c>
    </row>
    <row r="8" spans="1:10" ht="22.5" customHeight="1" x14ac:dyDescent="0.25">
      <c r="A8" s="13" t="s">
        <v>20</v>
      </c>
      <c r="B8" s="5">
        <v>2</v>
      </c>
      <c r="C8" s="5">
        <v>6</v>
      </c>
      <c r="D8" s="5">
        <v>0</v>
      </c>
      <c r="E8" s="5">
        <v>0</v>
      </c>
      <c r="F8" s="5">
        <v>0</v>
      </c>
      <c r="G8" s="5">
        <v>0</v>
      </c>
      <c r="H8" s="25">
        <f t="shared" si="0"/>
        <v>8</v>
      </c>
      <c r="I8" s="40" t="s">
        <v>44</v>
      </c>
      <c r="J8" s="21"/>
    </row>
    <row r="9" spans="1:10" x14ac:dyDescent="0.25">
      <c r="A9" s="13" t="s">
        <v>21</v>
      </c>
      <c r="B9" s="5">
        <v>2</v>
      </c>
      <c r="C9" s="5">
        <v>6</v>
      </c>
      <c r="D9" s="5">
        <v>0</v>
      </c>
      <c r="E9" s="5">
        <v>0</v>
      </c>
      <c r="F9" s="5">
        <v>0</v>
      </c>
      <c r="G9" s="5">
        <v>0</v>
      </c>
      <c r="H9" s="25">
        <f t="shared" si="0"/>
        <v>8</v>
      </c>
      <c r="I9" s="35" t="s">
        <v>44</v>
      </c>
      <c r="J9" s="21"/>
    </row>
    <row r="10" spans="1:10" ht="22.5" customHeight="1" x14ac:dyDescent="0.25">
      <c r="A10" s="13" t="s">
        <v>22</v>
      </c>
      <c r="B10" s="5">
        <v>7</v>
      </c>
      <c r="C10" s="5">
        <v>15</v>
      </c>
      <c r="D10" s="5">
        <v>1</v>
      </c>
      <c r="E10" s="5">
        <v>0</v>
      </c>
      <c r="F10" s="5">
        <v>2</v>
      </c>
      <c r="G10" s="5">
        <v>1</v>
      </c>
      <c r="H10" s="25">
        <f t="shared" si="0"/>
        <v>26</v>
      </c>
      <c r="I10" s="35"/>
      <c r="J10" s="21"/>
    </row>
    <row r="11" spans="1:10" ht="22.5" customHeight="1" x14ac:dyDescent="0.25">
      <c r="A11" s="13" t="s">
        <v>9</v>
      </c>
      <c r="B11" s="5">
        <v>0</v>
      </c>
      <c r="C11" s="5">
        <v>5</v>
      </c>
      <c r="D11" s="5">
        <v>0</v>
      </c>
      <c r="E11" s="5">
        <v>0</v>
      </c>
      <c r="F11" s="5">
        <v>0</v>
      </c>
      <c r="G11" s="5">
        <v>0</v>
      </c>
      <c r="H11" s="25">
        <f t="shared" si="0"/>
        <v>5</v>
      </c>
      <c r="I11" s="35" t="s">
        <v>44</v>
      </c>
      <c r="J11" s="21"/>
    </row>
    <row r="12" spans="1:10" ht="22.5" customHeight="1" x14ac:dyDescent="0.25">
      <c r="A12" s="13" t="s">
        <v>12</v>
      </c>
      <c r="B12" s="5">
        <v>6</v>
      </c>
      <c r="C12" s="5">
        <v>6</v>
      </c>
      <c r="D12" s="5">
        <v>0</v>
      </c>
      <c r="E12" s="5">
        <v>0</v>
      </c>
      <c r="F12" s="5">
        <v>0</v>
      </c>
      <c r="G12" s="5">
        <v>0</v>
      </c>
      <c r="H12" s="25">
        <f t="shared" si="0"/>
        <v>12</v>
      </c>
      <c r="I12" s="35" t="s">
        <v>44</v>
      </c>
      <c r="J12" s="21"/>
    </row>
    <row r="13" spans="1:10" ht="22.5" customHeight="1" x14ac:dyDescent="0.25">
      <c r="A13" s="14" t="s">
        <v>14</v>
      </c>
      <c r="B13" s="7">
        <v>2</v>
      </c>
      <c r="C13" s="7">
        <v>2</v>
      </c>
      <c r="D13" s="7">
        <v>0</v>
      </c>
      <c r="E13" s="7">
        <v>0</v>
      </c>
      <c r="F13" s="7">
        <v>0</v>
      </c>
      <c r="G13" s="7">
        <v>4</v>
      </c>
      <c r="H13" s="25">
        <f t="shared" si="0"/>
        <v>8</v>
      </c>
      <c r="I13" s="35" t="s">
        <v>44</v>
      </c>
      <c r="J13" s="22"/>
    </row>
    <row r="14" spans="1:10" ht="22.5" customHeight="1" x14ac:dyDescent="0.25">
      <c r="A14" s="14" t="s">
        <v>15</v>
      </c>
      <c r="B14" s="32">
        <v>4</v>
      </c>
      <c r="C14" s="32">
        <v>9</v>
      </c>
      <c r="D14" s="32">
        <v>0</v>
      </c>
      <c r="E14" s="32">
        <v>0</v>
      </c>
      <c r="F14" s="32">
        <v>0</v>
      </c>
      <c r="G14" s="32">
        <v>6</v>
      </c>
      <c r="H14" s="33">
        <f t="shared" si="0"/>
        <v>19</v>
      </c>
      <c r="I14" s="35" t="s">
        <v>44</v>
      </c>
      <c r="J14" s="22"/>
    </row>
    <row r="15" spans="1:10" ht="21.75" customHeight="1" x14ac:dyDescent="0.25">
      <c r="A15" s="14" t="s">
        <v>24</v>
      </c>
      <c r="B15" s="7">
        <v>4</v>
      </c>
      <c r="C15" s="7">
        <v>7</v>
      </c>
      <c r="D15" s="7">
        <v>0</v>
      </c>
      <c r="E15" s="7">
        <v>0</v>
      </c>
      <c r="F15" s="7">
        <v>0</v>
      </c>
      <c r="G15" s="7">
        <v>0</v>
      </c>
      <c r="H15" s="25">
        <f t="shared" si="0"/>
        <v>11</v>
      </c>
      <c r="I15" s="35" t="s">
        <v>44</v>
      </c>
      <c r="J15" s="22"/>
    </row>
    <row r="16" spans="1:10" ht="22.5" customHeight="1" x14ac:dyDescent="0.25">
      <c r="A16" s="14" t="s">
        <v>25</v>
      </c>
      <c r="B16" s="7">
        <v>13</v>
      </c>
      <c r="C16" s="7">
        <v>12</v>
      </c>
      <c r="D16" s="7">
        <v>1</v>
      </c>
      <c r="E16" s="7">
        <v>0</v>
      </c>
      <c r="F16" s="7">
        <v>1</v>
      </c>
      <c r="G16" s="7">
        <v>0</v>
      </c>
      <c r="H16" s="25">
        <f>SUM(B16:G16)</f>
        <v>27</v>
      </c>
      <c r="I16" s="34" t="s">
        <v>44</v>
      </c>
      <c r="J16" s="22" t="s">
        <v>32</v>
      </c>
    </row>
    <row r="17" spans="1:10" ht="30" x14ac:dyDescent="0.25">
      <c r="A17" s="14" t="s">
        <v>27</v>
      </c>
      <c r="B17" s="7">
        <v>17</v>
      </c>
      <c r="C17" s="7">
        <v>17</v>
      </c>
      <c r="D17" s="7">
        <v>2</v>
      </c>
      <c r="E17" s="32">
        <v>2</v>
      </c>
      <c r="F17" s="7">
        <v>0</v>
      </c>
      <c r="G17" s="7">
        <v>0</v>
      </c>
      <c r="H17" s="25">
        <f t="shared" ref="H17:H19" si="1">SUM(B17:G17)</f>
        <v>38</v>
      </c>
      <c r="I17" s="35" t="s">
        <v>44</v>
      </c>
      <c r="J17" s="22" t="s">
        <v>49</v>
      </c>
    </row>
    <row r="18" spans="1:10" ht="45" x14ac:dyDescent="0.25">
      <c r="A18" s="14" t="s">
        <v>28</v>
      </c>
      <c r="B18" s="7">
        <v>7</v>
      </c>
      <c r="C18" s="7">
        <v>39</v>
      </c>
      <c r="D18" s="7">
        <v>0</v>
      </c>
      <c r="E18" s="7">
        <v>1</v>
      </c>
      <c r="F18" s="7">
        <v>0</v>
      </c>
      <c r="G18" s="7">
        <v>0</v>
      </c>
      <c r="H18" s="25">
        <f t="shared" si="1"/>
        <v>47</v>
      </c>
      <c r="I18" s="35" t="s">
        <v>44</v>
      </c>
      <c r="J18" s="22" t="s">
        <v>39</v>
      </c>
    </row>
    <row r="19" spans="1:10" ht="22.5" customHeight="1" x14ac:dyDescent="0.25">
      <c r="A19" s="28" t="s">
        <v>34</v>
      </c>
      <c r="B19" s="29">
        <v>0</v>
      </c>
      <c r="C19" s="29">
        <v>4</v>
      </c>
      <c r="D19" s="29">
        <v>0</v>
      </c>
      <c r="E19" s="29">
        <v>0</v>
      </c>
      <c r="F19" s="29">
        <v>0</v>
      </c>
      <c r="G19" s="29">
        <v>0</v>
      </c>
      <c r="H19" s="25">
        <f t="shared" si="1"/>
        <v>4</v>
      </c>
      <c r="I19" s="39" t="s">
        <v>44</v>
      </c>
      <c r="J19" s="31"/>
    </row>
    <row r="20" spans="1:10" ht="22.5" customHeight="1" x14ac:dyDescent="0.25">
      <c r="A20" s="15" t="s">
        <v>16</v>
      </c>
      <c r="B20" s="8">
        <f t="shared" ref="B20:G20" si="2">SUM(B5:B19)</f>
        <v>97</v>
      </c>
      <c r="C20" s="8">
        <f t="shared" si="2"/>
        <v>170</v>
      </c>
      <c r="D20" s="8">
        <f t="shared" si="2"/>
        <v>6</v>
      </c>
      <c r="E20" s="8">
        <f t="shared" si="2"/>
        <v>6</v>
      </c>
      <c r="F20" s="8">
        <f t="shared" si="2"/>
        <v>6</v>
      </c>
      <c r="G20" s="8">
        <f t="shared" si="2"/>
        <v>12</v>
      </c>
      <c r="H20" s="27">
        <f>SUM(H5:H19)</f>
        <v>297</v>
      </c>
      <c r="I20" s="37"/>
      <c r="J20" s="23">
        <f>SUM(B20:G20)</f>
        <v>297</v>
      </c>
    </row>
    <row r="23" spans="1:10" x14ac:dyDescent="0.25">
      <c r="H23" s="1">
        <f>+H20-'April 15'!H20</f>
        <v>0</v>
      </c>
      <c r="J23" t="s">
        <v>37</v>
      </c>
    </row>
    <row r="26" spans="1:10" x14ac:dyDescent="0.25">
      <c r="B26" s="1" t="s">
        <v>41</v>
      </c>
    </row>
  </sheetData>
  <mergeCells count="10">
    <mergeCell ref="G3:G4"/>
    <mergeCell ref="H3:H4"/>
    <mergeCell ref="I3:I4"/>
    <mergeCell ref="J3:J4"/>
    <mergeCell ref="A3:A4"/>
    <mergeCell ref="B3:B4"/>
    <mergeCell ref="C3:C4"/>
    <mergeCell ref="D3:D4"/>
    <mergeCell ref="E3:E4"/>
    <mergeCell ref="F3:F4"/>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7F60C-1D81-4CF3-B902-1D3DA20E7B5D}">
  <sheetPr codeName="Sheet20"/>
  <dimension ref="A1:J26"/>
  <sheetViews>
    <sheetView tabSelected="1" topLeftCell="A31" workbookViewId="0">
      <selection activeCell="H24" sqref="H24"/>
    </sheetView>
  </sheetViews>
  <sheetFormatPr defaultRowHeight="15" x14ac:dyDescent="0.25"/>
  <cols>
    <col min="1" max="1" width="30.85546875" style="12" customWidth="1"/>
    <col min="2" max="2" width="14.7109375" style="1" customWidth="1"/>
    <col min="3" max="8" width="10.7109375" style="1" customWidth="1"/>
    <col min="9" max="9" width="19.85546875" style="1" customWidth="1"/>
    <col min="10" max="10" width="44.7109375" customWidth="1"/>
  </cols>
  <sheetData>
    <row r="1" spans="1:10" x14ac:dyDescent="0.25">
      <c r="A1" s="12" t="s">
        <v>0</v>
      </c>
      <c r="B1" s="6">
        <v>43938</v>
      </c>
    </row>
    <row r="3" spans="1:10" ht="15" customHeight="1" x14ac:dyDescent="0.25">
      <c r="A3" s="49" t="s">
        <v>1</v>
      </c>
      <c r="B3" s="45" t="s">
        <v>2</v>
      </c>
      <c r="C3" s="45" t="s">
        <v>3</v>
      </c>
      <c r="D3" s="45" t="s">
        <v>4</v>
      </c>
      <c r="E3" s="45" t="s">
        <v>5</v>
      </c>
      <c r="F3" s="45" t="s">
        <v>6</v>
      </c>
      <c r="G3" s="45" t="s">
        <v>7</v>
      </c>
      <c r="H3" s="45" t="s">
        <v>16</v>
      </c>
      <c r="I3" s="51" t="s">
        <v>43</v>
      </c>
      <c r="J3" s="45" t="s">
        <v>8</v>
      </c>
    </row>
    <row r="4" spans="1:10" ht="15" customHeight="1" x14ac:dyDescent="0.25">
      <c r="A4" s="50"/>
      <c r="B4" s="46"/>
      <c r="C4" s="46"/>
      <c r="D4" s="46"/>
      <c r="E4" s="46"/>
      <c r="F4" s="46"/>
      <c r="G4" s="46"/>
      <c r="H4" s="46"/>
      <c r="I4" s="52"/>
      <c r="J4" s="46"/>
    </row>
    <row r="5" spans="1:10" x14ac:dyDescent="0.25">
      <c r="A5" s="13" t="s">
        <v>17</v>
      </c>
      <c r="B5" s="5">
        <v>7</v>
      </c>
      <c r="C5" s="5">
        <v>19</v>
      </c>
      <c r="D5" s="5">
        <v>0</v>
      </c>
      <c r="E5" s="5">
        <v>0</v>
      </c>
      <c r="F5" s="5">
        <v>1</v>
      </c>
      <c r="G5" s="5">
        <v>3</v>
      </c>
      <c r="H5" s="25">
        <f t="shared" ref="H5:H15" si="0">SUM(B5:G5)</f>
        <v>30</v>
      </c>
      <c r="I5" s="42" t="s">
        <v>44</v>
      </c>
      <c r="J5" s="21"/>
    </row>
    <row r="6" spans="1:10" ht="45" x14ac:dyDescent="0.25">
      <c r="A6" s="13" t="s">
        <v>19</v>
      </c>
      <c r="B6" s="5">
        <v>16</v>
      </c>
      <c r="C6" s="5">
        <v>24</v>
      </c>
      <c r="D6" s="5">
        <v>2</v>
      </c>
      <c r="E6" s="5">
        <v>0</v>
      </c>
      <c r="F6" s="5">
        <v>1</v>
      </c>
      <c r="G6" s="5">
        <v>2</v>
      </c>
      <c r="H6" s="25">
        <f t="shared" si="0"/>
        <v>45</v>
      </c>
      <c r="I6" s="38" t="s">
        <v>45</v>
      </c>
      <c r="J6" s="21" t="s">
        <v>53</v>
      </c>
    </row>
    <row r="7" spans="1:10" ht="22.5" customHeight="1" x14ac:dyDescent="0.25">
      <c r="A7" s="13" t="s">
        <v>11</v>
      </c>
      <c r="B7" s="5">
        <v>7</v>
      </c>
      <c r="C7" s="5">
        <v>1</v>
      </c>
      <c r="D7" s="5">
        <v>0</v>
      </c>
      <c r="E7" s="5">
        <v>1</v>
      </c>
      <c r="F7" s="5">
        <v>0</v>
      </c>
      <c r="G7" s="5">
        <v>0</v>
      </c>
      <c r="H7" s="25">
        <f t="shared" si="0"/>
        <v>9</v>
      </c>
      <c r="I7" s="39" t="s">
        <v>44</v>
      </c>
      <c r="J7" s="16" t="s">
        <v>54</v>
      </c>
    </row>
    <row r="8" spans="1:10" ht="22.5" customHeight="1" x14ac:dyDescent="0.25">
      <c r="A8" s="13" t="s">
        <v>20</v>
      </c>
      <c r="B8" s="5">
        <v>1</v>
      </c>
      <c r="C8" s="5">
        <v>4</v>
      </c>
      <c r="D8" s="5">
        <v>0</v>
      </c>
      <c r="E8" s="5">
        <v>0</v>
      </c>
      <c r="F8" s="5">
        <v>1</v>
      </c>
      <c r="G8" s="5">
        <v>2</v>
      </c>
      <c r="H8" s="25">
        <f t="shared" si="0"/>
        <v>8</v>
      </c>
      <c r="I8" s="40" t="s">
        <v>44</v>
      </c>
      <c r="J8" s="21"/>
    </row>
    <row r="9" spans="1:10" x14ac:dyDescent="0.25">
      <c r="A9" s="13" t="s">
        <v>21</v>
      </c>
      <c r="B9" s="5">
        <v>4</v>
      </c>
      <c r="C9" s="5">
        <v>4</v>
      </c>
      <c r="D9" s="5">
        <v>0</v>
      </c>
      <c r="E9" s="5">
        <v>0</v>
      </c>
      <c r="F9" s="5">
        <v>0</v>
      </c>
      <c r="G9" s="5">
        <v>0</v>
      </c>
      <c r="H9" s="25">
        <f t="shared" si="0"/>
        <v>8</v>
      </c>
      <c r="I9" s="35" t="s">
        <v>44</v>
      </c>
      <c r="J9" s="21"/>
    </row>
    <row r="10" spans="1:10" ht="22.5" customHeight="1" x14ac:dyDescent="0.25">
      <c r="A10" s="13" t="s">
        <v>22</v>
      </c>
      <c r="B10" s="5">
        <v>5</v>
      </c>
      <c r="C10" s="5">
        <v>18</v>
      </c>
      <c r="D10" s="5">
        <v>1</v>
      </c>
      <c r="E10" s="5">
        <v>0</v>
      </c>
      <c r="F10" s="5">
        <v>1</v>
      </c>
      <c r="G10" s="5">
        <v>1</v>
      </c>
      <c r="H10" s="25">
        <f t="shared" si="0"/>
        <v>26</v>
      </c>
      <c r="I10" s="35" t="s">
        <v>44</v>
      </c>
      <c r="J10" s="21"/>
    </row>
    <row r="11" spans="1:10" ht="22.5" customHeight="1" x14ac:dyDescent="0.25">
      <c r="A11" s="13" t="s">
        <v>9</v>
      </c>
      <c r="B11" s="5">
        <v>0</v>
      </c>
      <c r="C11" s="5">
        <v>5</v>
      </c>
      <c r="D11" s="5">
        <v>0</v>
      </c>
      <c r="E11" s="5">
        <v>0</v>
      </c>
      <c r="F11" s="5">
        <v>0</v>
      </c>
      <c r="G11" s="5">
        <v>0</v>
      </c>
      <c r="H11" s="25">
        <f t="shared" si="0"/>
        <v>5</v>
      </c>
      <c r="I11" s="35" t="s">
        <v>44</v>
      </c>
      <c r="J11" s="21"/>
    </row>
    <row r="12" spans="1:10" ht="22.5" customHeight="1" x14ac:dyDescent="0.25">
      <c r="A12" s="13" t="s">
        <v>12</v>
      </c>
      <c r="B12" s="5">
        <v>6</v>
      </c>
      <c r="C12" s="5">
        <v>5</v>
      </c>
      <c r="D12" s="5">
        <v>0</v>
      </c>
      <c r="E12" s="5">
        <v>0</v>
      </c>
      <c r="F12" s="5">
        <v>0</v>
      </c>
      <c r="G12" s="5">
        <v>1</v>
      </c>
      <c r="H12" s="25">
        <f t="shared" si="0"/>
        <v>12</v>
      </c>
      <c r="I12" s="35" t="s">
        <v>44</v>
      </c>
      <c r="J12" s="21"/>
    </row>
    <row r="13" spans="1:10" ht="22.5" customHeight="1" x14ac:dyDescent="0.25">
      <c r="A13" s="14" t="s">
        <v>14</v>
      </c>
      <c r="B13" s="7">
        <v>2</v>
      </c>
      <c r="C13" s="7">
        <v>1</v>
      </c>
      <c r="D13" s="7">
        <v>0</v>
      </c>
      <c r="E13" s="7">
        <v>0</v>
      </c>
      <c r="F13" s="7">
        <v>0</v>
      </c>
      <c r="G13" s="7">
        <v>5</v>
      </c>
      <c r="H13" s="25">
        <f t="shared" si="0"/>
        <v>8</v>
      </c>
      <c r="I13" s="35" t="s">
        <v>44</v>
      </c>
      <c r="J13" s="22"/>
    </row>
    <row r="14" spans="1:10" ht="22.5" customHeight="1" x14ac:dyDescent="0.25">
      <c r="A14" s="14" t="s">
        <v>15</v>
      </c>
      <c r="B14" s="32">
        <v>7</v>
      </c>
      <c r="C14" s="32">
        <v>4</v>
      </c>
      <c r="D14" s="32">
        <v>0</v>
      </c>
      <c r="E14" s="32">
        <v>0</v>
      </c>
      <c r="F14" s="32">
        <v>0</v>
      </c>
      <c r="G14" s="32">
        <v>8</v>
      </c>
      <c r="H14" s="33">
        <f t="shared" si="0"/>
        <v>19</v>
      </c>
      <c r="I14" s="35" t="s">
        <v>44</v>
      </c>
      <c r="J14" s="22"/>
    </row>
    <row r="15" spans="1:10" ht="21.75" customHeight="1" x14ac:dyDescent="0.25">
      <c r="A15" s="14" t="s">
        <v>24</v>
      </c>
      <c r="B15" s="7">
        <v>6</v>
      </c>
      <c r="C15" s="7">
        <v>4</v>
      </c>
      <c r="D15" s="7">
        <v>0</v>
      </c>
      <c r="E15" s="7">
        <v>0</v>
      </c>
      <c r="F15" s="7">
        <v>0</v>
      </c>
      <c r="G15" s="7">
        <v>1</v>
      </c>
      <c r="H15" s="25">
        <f t="shared" si="0"/>
        <v>11</v>
      </c>
      <c r="I15" s="35" t="s">
        <v>44</v>
      </c>
      <c r="J15" s="22"/>
    </row>
    <row r="16" spans="1:10" ht="22.5" customHeight="1" x14ac:dyDescent="0.25">
      <c r="A16" s="14" t="s">
        <v>25</v>
      </c>
      <c r="B16" s="7">
        <v>13</v>
      </c>
      <c r="C16" s="7">
        <v>13</v>
      </c>
      <c r="D16" s="7">
        <v>1</v>
      </c>
      <c r="E16" s="7">
        <v>0</v>
      </c>
      <c r="F16" s="7">
        <v>0</v>
      </c>
      <c r="G16" s="7">
        <v>0</v>
      </c>
      <c r="H16" s="25">
        <f>SUM(B16:G16)</f>
        <v>27</v>
      </c>
      <c r="I16" s="34" t="s">
        <v>44</v>
      </c>
      <c r="J16" s="22" t="s">
        <v>32</v>
      </c>
    </row>
    <row r="17" spans="1:10" ht="30" x14ac:dyDescent="0.25">
      <c r="A17" s="14" t="s">
        <v>27</v>
      </c>
      <c r="B17" s="7">
        <v>17</v>
      </c>
      <c r="C17" s="7">
        <v>17</v>
      </c>
      <c r="D17" s="7">
        <v>1</v>
      </c>
      <c r="E17" s="32">
        <v>2</v>
      </c>
      <c r="F17" s="7">
        <v>1</v>
      </c>
      <c r="G17" s="7">
        <v>0</v>
      </c>
      <c r="H17" s="25">
        <f t="shared" ref="H17:H19" si="1">SUM(B17:G17)</f>
        <v>38</v>
      </c>
      <c r="I17" s="35" t="s">
        <v>44</v>
      </c>
      <c r="J17" s="22" t="s">
        <v>49</v>
      </c>
    </row>
    <row r="18" spans="1:10" ht="45" x14ac:dyDescent="0.25">
      <c r="A18" s="14" t="s">
        <v>28</v>
      </c>
      <c r="B18" s="7">
        <v>7</v>
      </c>
      <c r="C18" s="7">
        <v>39</v>
      </c>
      <c r="D18" s="7">
        <v>0</v>
      </c>
      <c r="E18" s="7">
        <v>1</v>
      </c>
      <c r="F18" s="7">
        <v>0</v>
      </c>
      <c r="G18" s="7">
        <v>0</v>
      </c>
      <c r="H18" s="25">
        <f t="shared" si="1"/>
        <v>47</v>
      </c>
      <c r="I18" s="35" t="s">
        <v>44</v>
      </c>
      <c r="J18" s="22" t="s">
        <v>39</v>
      </c>
    </row>
    <row r="19" spans="1:10" ht="22.5" customHeight="1" x14ac:dyDescent="0.25">
      <c r="A19" s="28" t="s">
        <v>34</v>
      </c>
      <c r="B19" s="29">
        <v>0</v>
      </c>
      <c r="C19" s="29">
        <v>4</v>
      </c>
      <c r="D19" s="29">
        <v>0</v>
      </c>
      <c r="E19" s="29">
        <v>0</v>
      </c>
      <c r="F19" s="29">
        <v>0</v>
      </c>
      <c r="G19" s="29">
        <v>0</v>
      </c>
      <c r="H19" s="25">
        <f t="shared" si="1"/>
        <v>4</v>
      </c>
      <c r="I19" s="39" t="s">
        <v>44</v>
      </c>
      <c r="J19" s="31"/>
    </row>
    <row r="20" spans="1:10" ht="22.5" customHeight="1" x14ac:dyDescent="0.25">
      <c r="A20" s="15" t="s">
        <v>16</v>
      </c>
      <c r="B20" s="8">
        <f t="shared" ref="B20:G20" si="2">SUM(B5:B19)</f>
        <v>98</v>
      </c>
      <c r="C20" s="8">
        <f t="shared" si="2"/>
        <v>162</v>
      </c>
      <c r="D20" s="8">
        <f t="shared" si="2"/>
        <v>5</v>
      </c>
      <c r="E20" s="8">
        <f t="shared" si="2"/>
        <v>4</v>
      </c>
      <c r="F20" s="8">
        <f t="shared" si="2"/>
        <v>5</v>
      </c>
      <c r="G20" s="8">
        <f t="shared" si="2"/>
        <v>23</v>
      </c>
      <c r="H20" s="27">
        <f>SUM(H5:H19)</f>
        <v>297</v>
      </c>
      <c r="I20" s="37"/>
      <c r="J20" s="23">
        <f>SUM(B20:G20)</f>
        <v>297</v>
      </c>
    </row>
    <row r="23" spans="1:10" x14ac:dyDescent="0.25">
      <c r="H23" s="1">
        <f>298-H20</f>
        <v>1</v>
      </c>
      <c r="J23" t="s">
        <v>37</v>
      </c>
    </row>
    <row r="26" spans="1:10" x14ac:dyDescent="0.25">
      <c r="B26" s="1" t="s">
        <v>41</v>
      </c>
    </row>
  </sheetData>
  <mergeCells count="10">
    <mergeCell ref="G3:G4"/>
    <mergeCell ref="H3:H4"/>
    <mergeCell ref="I3:I4"/>
    <mergeCell ref="J3:J4"/>
    <mergeCell ref="A3:A4"/>
    <mergeCell ref="B3:B4"/>
    <mergeCell ref="C3:C4"/>
    <mergeCell ref="D3:D4"/>
    <mergeCell ref="E3:E4"/>
    <mergeCell ref="F3:F4"/>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7bff28dc-cdc9-4c47-9f5b-a2bf90c05cae">
      <UserInfo>
        <DisplayName>Rodney Johnson</DisplayName>
        <AccountId>124</AccountId>
        <AccountType/>
      </UserInfo>
      <UserInfo>
        <DisplayName>John Joseph</DisplayName>
        <AccountId>23</AccountId>
        <AccountType/>
      </UserInfo>
      <UserInfo>
        <DisplayName>Jeff Quimby</DisplayName>
        <AccountId>54</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8C0F003C9905C4582F44FBF5B4EC533" ma:contentTypeVersion="13" ma:contentTypeDescription="Create a new document." ma:contentTypeScope="" ma:versionID="b4810de01d8cc80767737b44c1a37e79">
  <xsd:schema xmlns:xsd="http://www.w3.org/2001/XMLSchema" xmlns:xs="http://www.w3.org/2001/XMLSchema" xmlns:p="http://schemas.microsoft.com/office/2006/metadata/properties" xmlns:ns3="360c75dd-8da4-4130-9677-68f922975db0" xmlns:ns4="7bff28dc-cdc9-4c47-9f5b-a2bf90c05cae" targetNamespace="http://schemas.microsoft.com/office/2006/metadata/properties" ma:root="true" ma:fieldsID="5b30886e7a8ee206341dd9d4d9241efc" ns3:_="" ns4:_="">
    <xsd:import namespace="360c75dd-8da4-4130-9677-68f922975db0"/>
    <xsd:import namespace="7bff28dc-cdc9-4c47-9f5b-a2bf90c05cae"/>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DateTaken" minOccurs="0"/>
                <xsd:element ref="ns3:MediaServiceLocation" minOccurs="0"/>
                <xsd:element ref="ns3:MediaServiceAutoKeyPoints" minOccurs="0"/>
                <xsd:element ref="ns3:MediaServiceKeyPoints"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0c75dd-8da4-4130-9677-68f922975d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OCR" ma:index="17"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bff28dc-cdc9-4c47-9f5b-a2bf90c05cae"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899AA0F-FE33-4B32-A4D5-74135F252D29}">
  <ds:schemaRefs>
    <ds:schemaRef ds:uri="http://schemas.microsoft.com/sharepoint/v3/contenttype/forms"/>
  </ds:schemaRefs>
</ds:datastoreItem>
</file>

<file path=customXml/itemProps2.xml><?xml version="1.0" encoding="utf-8"?>
<ds:datastoreItem xmlns:ds="http://schemas.openxmlformats.org/officeDocument/2006/customXml" ds:itemID="{ED19C6A6-35EF-42F8-992F-1979A95CAAFA}">
  <ds:schemaRefs>
    <ds:schemaRef ds:uri="http://schemas.microsoft.com/office/2006/metadata/properties"/>
    <ds:schemaRef ds:uri="http://schemas.microsoft.com/office/2006/documentManagement/types"/>
    <ds:schemaRef ds:uri="http://purl.org/dc/terms/"/>
    <ds:schemaRef ds:uri="http://schemas.openxmlformats.org/package/2006/metadata/core-properties"/>
    <ds:schemaRef ds:uri="360c75dd-8da4-4130-9677-68f922975db0"/>
    <ds:schemaRef ds:uri="http://purl.org/dc/elements/1.1/"/>
    <ds:schemaRef ds:uri="http://www.w3.org/XML/1998/namespace"/>
    <ds:schemaRef ds:uri="http://schemas.microsoft.com/office/infopath/2007/PartnerControls"/>
    <ds:schemaRef ds:uri="7bff28dc-cdc9-4c47-9f5b-a2bf90c05cae"/>
    <ds:schemaRef ds:uri="http://purl.org/dc/dcmitype/"/>
  </ds:schemaRefs>
</ds:datastoreItem>
</file>

<file path=customXml/itemProps3.xml><?xml version="1.0" encoding="utf-8"?>
<ds:datastoreItem xmlns:ds="http://schemas.openxmlformats.org/officeDocument/2006/customXml" ds:itemID="{98445EE1-737A-4745-B505-DF3DD986ACF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0c75dd-8da4-4130-9677-68f922975db0"/>
    <ds:schemaRef ds:uri="7bff28dc-cdc9-4c47-9f5b-a2bf90c05ca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March 23</vt:lpstr>
      <vt:lpstr>March 24</vt:lpstr>
      <vt:lpstr>March 25</vt:lpstr>
      <vt:lpstr>March 26</vt:lpstr>
      <vt:lpstr>March 27</vt:lpstr>
      <vt:lpstr>March 30</vt:lpstr>
      <vt:lpstr>March 31</vt:lpstr>
      <vt:lpstr>April 1</vt:lpstr>
      <vt:lpstr>April 2</vt:lpstr>
      <vt:lpstr>April 3</vt:lpstr>
      <vt:lpstr>April 6</vt:lpstr>
      <vt:lpstr>April 7</vt:lpstr>
      <vt:lpstr>April 8</vt:lpstr>
      <vt:lpstr>April 9</vt:lpstr>
      <vt:lpstr>April 10</vt:lpstr>
      <vt:lpstr>April 13</vt:lpstr>
      <vt:lpstr>April 14</vt:lpstr>
      <vt:lpstr>April 15</vt:lpstr>
      <vt:lpstr>April 16</vt:lpstr>
      <vt:lpstr>April 17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Kathy Hildenbrand</dc:creator>
  <cp:keywords/>
  <dc:description/>
  <cp:lastModifiedBy>Niko Hildenbrand</cp:lastModifiedBy>
  <cp:revision/>
  <dcterms:created xsi:type="dcterms:W3CDTF">2020-03-17T23:41:49Z</dcterms:created>
  <dcterms:modified xsi:type="dcterms:W3CDTF">2020-04-25T20:37:44Z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0x01010088C0F003C9905C4582F44FBF5B4EC533</vt:lpwstr>
  </property>
</Properties>
</file>